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ummary" sheetId="2" state="visible" r:id="rId4"/>
    <sheet name="How to read" sheetId="3" state="visible" r:id="rId5"/>
  </sheets>
  <definedNames>
    <definedName function="false" hidden="true" localSheetId="0" name="_xlnm._FilterDatabase" vbProcedure="false">'Product Backlog'!$A$1:$L$68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<sst xmlns="http://schemas.openxmlformats.org/spreadsheetml/2006/main" count="628" uniqueCount="369">
  <si>
    <t xml:space="preserve">ID</t>
  </si>
  <si>
    <t xml:space="preserve">Title</t>
  </si>
  <si>
    <t xml:space="preserve">Description</t>
  </si>
  <si>
    <t xml:space="preserve">Acceptance Criteria (most important)
- limitations, details of the information, etc</t>
  </si>
  <si>
    <t xml:space="preserve">Assigned To</t>
  </si>
  <si>
    <t xml:space="preserve">Completed?</t>
  </si>
  <si>
    <t xml:space="preserve">User Story Points</t>
  </si>
  <si>
    <t xml:space="preserve">Priority</t>
  </si>
  <si>
    <t xml:space="preserve">Change</t>
  </si>
  <si>
    <t xml:space="preserve">UBS feedback</t>
  </si>
  <si>
    <t xml:space="preserve">Test cases</t>
  </si>
  <si>
    <t xml:space="preserve">Notes</t>
  </si>
  <si>
    <t xml:space="preserve">Foundation</t>
  </si>
  <si>
    <t xml:space="preserve">F0</t>
  </si>
  <si>
    <t xml:space="preserve">System Architecture Design</t>
  </si>
  <si>
    <t xml:space="preserve">Design the ai agents and other services needed to fullfill the user stories requirements</t>
  </si>
  <si>
    <t xml:space="preserve">Denise</t>
  </si>
  <si>
    <t xml:space="preserve">Yes</t>
  </si>
  <si>
    <t xml:space="preserve">Must</t>
  </si>
  <si>
    <t xml:space="preserve">Unchanged</t>
  </si>
  <si>
    <t xml:space="preserve">F1</t>
  </si>
  <si>
    <t xml:space="preserve">Data contracts</t>
  </si>
  <si>
    <t xml:space="preserve">Shared Pydantic models every module passes to each other (architecture §4). Depends on: F0.</t>
  </si>
  <si>
    <t xml:space="preserve">• RequestContext, RiskAssessment, TaskPlan, AgentResult, ActionCommand, Receipt and AuditEvent exist in backend/app/schemas/
• Every field in architecture §4 and §6.3 is present and typed; enums use Literal types
• AgentResult.status includes needs_clarification with a question field
• SSE event models cover status, answer (with sections[]), action_required, done and error
• Unit tests build one valid and one invalid example of each model
• Merged in one PR, approved by all developers
[NEW] Ticket, TicketSummary, RequestCategory, MeetingNote and Brief models exist
[NEW] RequestContext carries role: guest, customer or rm
How to build:
1. Copy each JSON example from architecture §4 into a Pydantic model
2. Add the SSE event models next to the existing ones in schemas/chat.py
3. Write a round-trip test per model
4. Open one PR and get all developers to review</t>
  </si>
  <si>
    <t xml:space="preserve">Built - check</t>
  </si>
  <si>
    <t xml:space="preserve">Updated</t>
  </si>
  <si>
    <t xml:space="preserve">#5</t>
  </si>
  <si>
    <t xml:space="preserve">Built 28 Oct: Ticket/category models in app/schemas/tickets.py (not in contracts.py, so no all-dev PR needed)</t>
  </si>
  <si>
    <t xml:space="preserve">F2</t>
  </si>
  <si>
    <t xml:space="preserve">Operational database and synthetic seed</t>
  </si>
  <si>
    <t xml:space="preserve">Business tables with RLS, plus fake data for Alex, Michelle and David. Depends on: F0.</t>
  </si>
  <si>
    <t xml:space="preserve">• Schemas banking, compliance, rm, consent, conversation, actions, support, notify and events migrate cleanly on the hosted project
• RLS is enabled on every customer table; a signed-in customer reads only their own rows
• Seed includes Alex's card ending 4821, the $2,400 charge and the pending landlord transfer
• Seed includes Michelle's compliance case, requested documents and deadline
• Seed includes David's old and new RM, advisor working hours and an open request
• Synthetic data only; no service-role key in the app or browser
• Migration numbering rule is written in the README
How to build:
1. Write one migration per schema in backend/supabase/migrations/
2. Add RLS policies keyed on customer_id
3. Write a seed migration for the three personas
4. Test RLS by signing in as each persona and reading another persona's rows</t>
  </si>
  <si>
    <t xml:space="preserve">New persona data goes in F2b, so this story stays closed</t>
  </si>
  <si>
    <t xml:space="preserve">F2b</t>
  </si>
  <si>
    <t xml:space="preserve">RM, ticket and meeting-note seed data</t>
  </si>
  <si>
    <t xml:space="preserve">Synthetic data for the new personas: Sophie (RM), her book of clients, tickets and past meeting notes. Depends on: F2.</t>
  </si>
  <si>
    <t xml:space="preserve">• Sophie has an RM account with role rm and a book of clients: Michelle, David and at least 2 more synthetic clients
• At least one client (e.g. Alex) belongs to another RM, for access tests
• David is an inherited client: previous RM Rachel, 2–3 past meeting notes written by Rachel, one open request and a consent-shared handover note
• Michelle has her compliance case plus a card, a suspicious charge and a pending payment (reuse Alex's seed rows)
• 8–10 open tickets across Sophie's book with mixed categories and urgency, including one P0 suspected fraud and one breaching its target time
• Synthetic data only; RLS tests pass for Sophie, Michelle and David
How to build:
1. Add rm.book and rm.meeting_notes tables
2. Write a seed migration for Sophie's book, tickets and notes
3. Move Alex's card and payment rows to Michelle, or copy them
4. Test RLS by signing in as Sophie and reading a client outside her book</t>
  </si>
  <si>
    <t xml:space="preserve">New</t>
  </si>
  <si>
    <t xml:space="preserve">#3</t>
  </si>
  <si>
    <t xml:space="preserve">Data for all R cases</t>
  </si>
  <si>
    <t xml:space="preserve">Built 28 Oct: Partly: Michelle card 7310 + demo tickets; RM/Sophie seed still open</t>
  </si>
  <si>
    <t xml:space="preserve">F3</t>
  </si>
  <si>
    <t xml:space="preserve">Audit Log Service</t>
  </si>
  <si>
    <t xml:space="preserve">Append-only, tamper-evident record of who did what. Depends on: F1, F2.</t>
  </si>
  <si>
    <t xml:space="preserve">• audit.events can only be written through audit.record() (SECURITY DEFINER)
• UPDATE, DELETE and TRUNCATE are revoked from all app roles
• Each row stores prev_hash and hash; editing a row breaks the chain and a check script detects it
• A generic trigger records insert/update/delete on audited business tables
• State changes write their audit row in the same transaction
• A failed audit write fails the request
• Events hold ids, enums and counts only, never user text or customer records
How to build:
1. Create the audit schema, table and record() function
2. Add the hash chain and a verify script
3. Attach the row trigger to business tables
4. Add a Python helper that batches events per request</t>
  </si>
  <si>
    <t xml:space="preserve">#7</t>
  </si>
  <si>
    <t xml:space="preserve">Reused for the audit trail walkthrough (F24)</t>
  </si>
  <si>
    <t xml:space="preserve">F4</t>
  </si>
  <si>
    <t xml:space="preserve">API Gateway Layer</t>
  </si>
  <si>
    <t xml:space="preserve">Entry point that checks who is calling and builds the RequestContext. Depends on: F1, F3.</t>
  </si>
  <si>
    <t xml:space="preserve">• JWT is verified with cached JWKS; invalid or expired tokens get 401
• customer_id comes only from the JWT, never from the request body
• Guests get a guest principal with no customer_id
• Rate limit and payload size limit return stable error codes
• auth.session_started is recorded the first time a session_id is seen
• POST /auth/session-end records auth.session_ended
• Every request has a request_id passed to all modules
How to build:
1. Move JWT checks from core/auth.py into middleware
2. Build RequestContext and attach it to the request
3. Add the in-process token-bucket rate limit
4. Add the session-end endpoint and audit events</t>
  </si>
  <si>
    <t xml:space="preserve">F5</t>
  </si>
  <si>
    <t xml:space="preserve">Input Guardrail</t>
  </si>
  <si>
    <t xml:space="preserve">Rule-based check of every message before any AI runs. Depends on: F1.</t>
  </si>
  <si>
    <t xml:space="preserve">• Returns a RiskAssessment for every message
• Never calls the LLM
• Card numbers, passwords, OTPs and NRIC are redacted and counted
• Lost card, shared secrets and human-support requests return fixed responses
• Guest asking about 'my balance' gets the log-in fixed response
• Fraud wording sets fraud_suspected and priority P0
• Shared privacy fixtures pass in backend and frontend; ordinary password-reset questions are unchanged
• Never asks for PIN, password, OTP, CVV or full card number; if the customer types one, warns them and never repeats it back (from X2)
How to build:
1. Merge privacy.py and safety.py behind one guard() function
2. Add fraud wording rules and priority
3. Keep frontend lib/chatTools.js redaction in sync
4. Extend tests/fixtures/privacy-cases.json</t>
  </si>
  <si>
    <t xml:space="preserve">Deshaun</t>
  </si>
  <si>
    <t xml:space="preserve">#1</t>
  </si>
  <si>
    <t xml:space="preserve">C02, C06</t>
  </si>
  <si>
    <t xml:space="preserve">F6</t>
  </si>
  <si>
    <t xml:space="preserve">LLM Gateway</t>
  </si>
  <si>
    <t xml:space="preserve">One model client for the planner and all agents. Depends on: F1.</t>
  </si>
  <si>
    <t xml:space="preserve">• Planner and agents all call the model through this client
• Prompts load by agent and version from prompts/&lt;agent&gt;/vN
• Output is parsed against a strict JSON schema
• Timeouts, limited retries and a per-request token budget are enforced
• Errors are reported, never replaced with a sample answer
• Model, tokens and latency are recorded per call with a trace span
• Released prompt versions are never edited; each new version has a prompt-log entry
How to build:
1. Wrap the existing services/llm.py call in a generic client
2. Extend services/prompts.py to load per-agent folders
3. Add timeout, retry and budget settings to core/config.py
4. Record token and latency in the trace tables</t>
  </si>
  <si>
    <t xml:space="preserve">#6</t>
  </si>
  <si>
    <t xml:space="preserve">Trace spans also sent to LangSmith in F22</t>
  </si>
  <si>
    <t xml:space="preserve">F7</t>
  </si>
  <si>
    <t xml:space="preserve">Conversation Store</t>
  </si>
  <si>
    <t xml:space="preserve">Saves chats so follow-ups and returning customers keep context. Depends on: F2, F4, F5.</t>
  </si>
  <si>
    <t xml:space="preserve">• Each turn is saved with redacted text only
• A follow-up in the same chat sees the earlier turns
• A signed-in customer can list and reopen only their own chats (RLS)
• Cases group the tasks from one conversation
• LangGraph checkpoints are stored here
• Guest sessions expire
• Follow-ups such as 'what about the other one?' resolve to the right topic, and topics are kept separate
• A signed-in customer can resume from where they left off in their last chat (from X1)
[NEW] A record of what the client was told (bot statements and uploads, with dates) can be read by their RM through the Customer Data Service, subject to authorisation (for RM8)
How to build:
1. Create conversation.sessions, messages, cases and checkpoints
2. Save each turn after the guardrail
3. Load history at the start of each turn
4. Add an endpoint to list previous chats</t>
  </si>
  <si>
    <t xml:space="preserve">No</t>
  </si>
  <si>
    <t xml:space="preserve">F8</t>
  </si>
  <si>
    <t xml:space="preserve">Knowledge Service</t>
  </si>
  <si>
    <t xml:space="preserve">Moves the article library into Supabase with full-text search. Depends on: F2.</t>
  </si>
  <si>
    <t xml:space="preserve">• kb.articles, kb.sections and kb.facts exist with read-only RLS
• kb.search() returns ranked sections cited as article_id@vN#anchor
• Unrelated questions return no sections
• get_fact() returns exact fees, limits and rates
• knowledge.py reads from Supabase; today's answers still pass the offline evaluation
• External articles have reference_url, checked_on, review_due and an allowed domain
[NEW] Policy articles exist for every request category in F20 (e.g. card limit: documents needed, who decides, typical turnaround)
How to build:
1. Write the kb migration from knowledge-base-design.md
2. Move current in-memory articles into a content migration
3. Write the kb.search() SQL function
4. Point knowledge.py at the RPC and rerun the evaluation</t>
  </si>
  <si>
    <t xml:space="preserve">#4</t>
  </si>
  <si>
    <t xml:space="preserve">Built 28 Oct: card-limit-change article (memory + migration 0071)</t>
  </si>
  <si>
    <t xml:space="preserve">F9</t>
  </si>
  <si>
    <t xml:space="preserve">Authorisation &amp; Consent Service</t>
  </si>
  <si>
    <t xml:space="preserve">One place that decides whether a read or action is allowed. Depends on: F2, F3.</t>
  </si>
  <si>
    <t xml:space="preserve">• decide() returns allow, reasons and obligations (mask, require confirmation, require consent)
• Guests are denied all personal data
• An agent calling a tool outside its allow-list is denied
• card.unblock requires step-up (aal2)
• Auto vs confirm action types are listed in the policy rules
• has_consent() respects expiry and revocation
• Every decision writes a policy.decision audit event
How to build:
1. Write policy rules as Python in services/authorisation.py
2. Create consent.grants with RLS
3. Add has_consent()
4. Test each rule with allow and deny cases</t>
  </si>
  <si>
    <t xml:space="preserve">C06</t>
  </si>
  <si>
    <t xml:space="preserve">F9b</t>
  </si>
  <si>
    <t xml:space="preserve">RM role and book-based access</t>
  </si>
  <si>
    <t xml:space="preserve">Authorisation rules for staff users, so an RM sees only her own clients. Depends on: F4, F9.</t>
  </si>
  <si>
    <t xml:space="preserve">• RM principal comes from JWT claims (role = rm, rm_id); never from the request body
• An RM can read only clients in her book; any other client is denied and audited
• An RM sees the client's handover note only with an active consent grant
• An RM cannot run client-side actions (e.g. card block) or change ticket status through the bot
• Every decision writes a policy.decision audit event
How to build:
1. Add the rm role and rm_id claim
2. Add book-based rules to services/authorisation.py
3. Add RLS policies on rm and support tables
4. Test allow and deny cases for Sophie</t>
  </si>
  <si>
    <t xml:space="preserve">#1, #7</t>
  </si>
  <si>
    <t xml:space="preserve">R05, R06</t>
  </si>
  <si>
    <t xml:space="preserve">F10</t>
  </si>
  <si>
    <t xml:space="preserve">Customer Data Service</t>
  </si>
  <si>
    <t xml:space="preserve">The only way agents read customer records. Depends on: F2, F9.</t>
  </si>
  <si>
    <t xml:space="preserve">• Functions exist for profile, accounts, transactions, credit cards, loans, compliance case, RM assignment, requests and free slots
• Every query filters by customer_id in code and runs with the user JWT so RLS applies
• Card numbers show last 4 only; account numbers and NRIC are masked
• Every call asks decide() first
• Every result returns a call_id the validator can check figures against
• Every call writes a data.read audit event
• No service-role key is used
How to build:
1. Create services/customer_data.py with one function per read
2. Add masking helpers
3. Return {call_id, data, as_of}
4. Write RLS tests per persona</t>
  </si>
  <si>
    <t xml:space="preserve">F10b</t>
  </si>
  <si>
    <t xml:space="preserve">RM data functions</t>
  </si>
  <si>
    <t xml:space="preserve">Read functions the RM Assistant uses. Depends on: F9b, F19.</t>
  </si>
  <si>
    <t xml:space="preserve">• Functions exist for: list my book, client profile summary, open tickets, ticket history, meeting notes, review status, what the client was told
• Every call asks decide() first and writes a data.read audit event
• Every result returns a call_id the validator can check facts against
• Masking rules from F10 apply
How to build:
1. Add services/rm_data.py with one function per read
2. Return {call_id, data, as_of}
3. Write RLS tests for Sophie</t>
  </si>
  <si>
    <t xml:space="preserve">F11</t>
  </si>
  <si>
    <t xml:space="preserve">Action Service core</t>
  </si>
  <si>
    <t xml:space="preserve">run_action(): the single path for every change. Depends on: F3, F9.</t>
  </si>
  <si>
    <t xml:space="preserve">• Confirm-type actions stop as proposed and send action_required
• Proposed commands expire after 5 minutes; an expired confirm executes nothing
• A repeated request or confirm returns the same receipt
• Policy is re-checked at confirm time
• Change, outbox row and audit event commit in one transaction
• Every executed action returns a receipt
• The model can never choose or call an executor directly
• POST /commands/{id}/confirm works
How to build:
1. Create actions.commands with idempotency_key
2. Write run_action() with the seven steps from architecture §5.7.3
3. Add the executor registry
4. Add the confirm endpoint</t>
  </si>
  <si>
    <t xml:space="preserve">#2</t>
  </si>
  <si>
    <t xml:space="preserve">F12</t>
  </si>
  <si>
    <t xml:space="preserve">Card and handoff executors</t>
  </si>
  <si>
    <t xml:space="preserve">Card blocking and passing a case to a person. Depends on: F11.</t>
  </si>
  <si>
    <t xml:space="preserve">• Card block runs only after the customer confirms
• Allowed transitions are active → temporarily_blocked → active / cancelled; others are rejected
• Unblock and permanent cancel are staff-only
• Handoff includes a redacted case summary
• Only one open handoff per case and reason
• Handoff queue orders P0 first, then age
• RLS tests pass
How to build:
1. Write services/actions/cards.py
2. Write services/actions/handoffs.py and support.handoffs
3. Register both in the executor registry
4. Add a staff script to claim and close handoffs</t>
  </si>
  <si>
    <t xml:space="preserve">Handoffs will create a ticket through F19</t>
  </si>
  <si>
    <t xml:space="preserve">F13</t>
  </si>
  <si>
    <t xml:space="preserve">Appointment and records executors</t>
  </si>
  <si>
    <t xml:space="preserve">Bookings, consent and record updates. Depends on: F9, F11.</t>
  </si>
  <si>
    <t xml:space="preserve">• A slot hold lasts 10 minutes
• Two bookings on the same slot cannot both succeed (exclusion constraint)
• Booking is confirmed only after the customer confirms
• Sharing a summary or agenda fails without an active consent grant
• Consent grants and revocations are written only here, each with a receipt
• Checklist update, agenda save and consent request run without confirmation
How to build:
1. Write services/actions/appointments.py and the booking table
2. Write services/actions/records.py
3. Register all types with their auto/confirm setting
4. Test double booking and missing consent</t>
  </si>
  <si>
    <t xml:space="preserve">F14</t>
  </si>
  <si>
    <t xml:space="preserve">Conversation Orchestrator</t>
  </si>
  <si>
    <t xml:space="preserve">Splits a message into tasks, runs agents and merges one reply. Depends on: F5, F6, F7, F16.</t>
  </si>
  <si>
    <t xml:space="preserve">• Several issues in one message become separate tasks
• Clear single-intent messages are planned by rules without an LLM call
• Tasks are ordered P0 fraud &gt; P1 security &gt; P2 deadline &gt; P3; guardrail flags override
• Independent tasks run in parallel with a timeout each
• Reply has one section per task in priority order
• Loan and fee sections get the disclaimer
• Conversation pauses for confirmation and resumes from the checkpoint
• A failed agent withholds only its own section
• Runs behind PIPELINE=v2; PIPELINE=v1 runs today's chatbot unchanged
• The chat states it is an AI at the start, and that answers are general information, not advice or a contract (from X3)
[NEW] Routes by role: client and RM requests run through the same graph, each with its own agents
[NEW] Messages matching a request category (F20) follow that category's flow
[NEW] A task the bot cannot resolve ends as a ticket (F19) or a handoff, never a dead end
[NEW] No node approves, rejects or decides a request; decisions are only recorded from people
How to build:
1. Add the PIPELINE setting
2. Build the LangGraph graph with plan, prioritise, dispatch, compose
3. Add the Postgres checkpointer and interrupt on proposed actions
4. Resume the graph from the confirm endpoint</t>
  </si>
  <si>
    <t xml:space="preserve">#2, #4, #5</t>
  </si>
  <si>
    <t xml:space="preserve">C03, C04</t>
  </si>
  <si>
    <t xml:space="preserve">Built 28 Oct: Category hand-offs and ticket-on-escalation via 0071 triggers; RM routing still open</t>
  </si>
  <si>
    <t xml:space="preserve">F15</t>
  </si>
  <si>
    <t xml:space="preserve">Response Validator</t>
  </si>
  <si>
    <t xml:space="preserve">Checks each section before it is shown. Depends on: F8, F10, F11, F14.</t>
  </si>
  <si>
    <t xml:space="preserve">• Sections without valid sources are withheld
• Source ids exist and match the allowed scope
• Figures match kb.facts or a Customer Data result
• 'Blocked' / 'done' wording appears only with a receipt
• No secrets, URLs or prompt text leak
• Failure → section withheld, origin validation, needs_human=True and a handoff
• Other sections are still released
• Each section shows its source (FAQ / help page), collapsed by default; a declined answer gives a short reason (from X5)
[NEW] A failed section is retried or repaired once with the validator's feedback before it is withheld and handed off
[NEW] Ticket summaries and briefs are checked: every fact maps to a ticket event, note or record id
[NEW] No approve or reject wording passes the validator
How to build:
1. Extend source_checks.py to run per section
2. Pass tool results and receipts into the validator
3. Create a handoff on failure
4. Add tests for each failure type</t>
  </si>
  <si>
    <t xml:space="preserve">R09, R10</t>
  </si>
  <si>
    <t xml:space="preserve">Built 28 Oct: Repair attempt already existed (agents/answer.py); validation failures now also open a ticket</t>
  </si>
  <si>
    <t xml:space="preserve">F16</t>
  </si>
  <si>
    <t xml:space="preserve">Stub Agents</t>
  </si>
  <si>
    <t xml:space="preserve">Minimal version of each of the five agents for the user stories to build on. Depends on: F1, F6, F9.</t>
  </si>
  <si>
    <t xml:space="preserve">• Everyday Banking, Fraud &amp; Security, Compliance Review, Document Check and Relationship agents exist
• Each has a prompt v1 folder and a prompt-log entry
• Each has its tool allow-list from architecture §5.6
• Each returns a valid AgentResult from the real provider, never a fixed sample answer
• An out-of-scope request returns to the orchestrator
• The orchestrator can dispatch a task to every agent
[NEW] A sixth agent, RM Assistant, exists with tools: book, tickets, ticket history, meeting notes, review status, what the client was told
[NEW] RM Assistant can only read and draft; it never sends, closes or changes anything
How to build:
1. Create services/agents/ with one file per agent
2. Write a short v1 prompt per agent
3. Register agents and allow-lists
4. Add a live test that calls each agent once</t>
  </si>
  <si>
    <t xml:space="preserve">F17</t>
  </si>
  <si>
    <t xml:space="preserve">Local deployment</t>
  </si>
  <si>
    <t xml:space="preserve">Run the whole app locally with one command. Depends on: F4, F14.</t>
  </si>
  <si>
    <t xml:space="preserve">• docker compose up starts web and api against the hosted Supabase project
• The chatbot works end to end in the browser
• Secrets come from .env only and are not baked into images or committed
• README explains how to start and stop it
How to build:
1. Write Dockerfiles for frontend and backend
2. Write docker-compose.yml with env_file
3. Document the steps in README</t>
  </si>
  <si>
    <t xml:space="preserve">Should</t>
  </si>
  <si>
    <t xml:space="preserve">Built 28 Oct: docker-compose.yml + Dockerfiles (not run in the build environment)</t>
  </si>
  <si>
    <t xml:space="preserve">F18</t>
  </si>
  <si>
    <t xml:space="preserve">Hardening and report evidence</t>
  </si>
  <si>
    <t xml:space="preserve">Check the foundation is safe and fast before persona work builds on it. Depends on: F1–F17.</t>
  </si>
  <si>
    <t xml:space="preserve">• RLS checks pass for all three personas
• Audit hash chain verifies with no gaps
• Every request has trace spans per node, agent and tool
• Playwright smoke test of PIPELINE=v2 passes with the real provider
• Latency per request type is measured against the architecture budget
• Results and limitations are written up for the report
• An evaluation set of informal, misspelled, ambiguous and rephrased questions passes for every persona (from EB7)
[NEW] RLS checks also pass for Sophie (RM) and for a client outside her book
[NEW] Evaluation results come from the LangSmith harness (F22)
How to build:
1. Write RLS and audit test scripts
2. Add trace spans to the orchestrator and agents
3. Write the Playwright smoke test
4. Run, record and write up results</t>
  </si>
  <si>
    <t xml:space="preserve">F19</t>
  </si>
  <si>
    <t xml:space="preserve">Ticket Service</t>
  </si>
  <si>
    <t xml:space="preserve">One place to create and track tickets in the backend, for the client and the RM. Depends on: F1, F2b, F3, F11.</t>
  </si>
  <si>
    <t xml:space="preserve">• create_ticket() takes category, details, urgency, attachments and a redacted conversation summary, and returns a reference (e.g. TCK-000123)
• Owner team and target time are set from the category (F20)
• Status flow: submitted → in review → waiting on client → resolved → closed; only staff or the RM change status
• The bot never marks a ticket resolved or closed
• Client-facing status is plain language and never shows internal notes
• An open ticket with the same client and category is shown instead of creating a duplicate
• A ticket past its target time is flagged as breaching
• Every create and status change writes an audit event in the same transaction
• The handoff executor (F12) creates a ticket
How to build:
1. Create support.tickets and support.ticket_events
2. Write services/tickets.py and register create_ticket as a confirm-type action
3. Add status and duplicate rules
4. Test with Michelle's and Sophie's data</t>
  </si>
  <si>
    <t xml:space="preserve">#5, #7</t>
  </si>
  <si>
    <t xml:space="preserve">C04, R01</t>
  </si>
  <si>
    <t xml:space="preserve">Built 28 Oct: Migration 0071 + api/tickets.py; native tests in test_tickets.py</t>
  </si>
  <si>
    <t xml:space="preserve">F20</t>
  </si>
  <si>
    <t xml:space="preserve">Request Category Catalogue</t>
  </si>
  <si>
    <t xml:space="preserve">Fixed request categories that guide the conversation without the bot deciding anything. Depends on: F8, F19.</t>
  </si>
  <si>
    <t xml:space="preserve">• 6–8 categories: card limit change, statement request, personal details update, payment or transfer issue, login or access issue, compliance documents, suspected fraud, request to RM
• Each category defines: required fields, follow-up questions, documents needed, owner team, who decides, target time
• The bot asks only for fields that are still missing
• 'Who decides' is always a person or team, never the bot
• Categories are stored as versioned config, not in prompts
How to build:
1. Write categories in a config file or table
2. Link each to its policy article (F8)
3. Use it in the orchestrator (F14) and Ticket Service (F19)</t>
  </si>
  <si>
    <t xml:space="preserve">#4, #2</t>
  </si>
  <si>
    <t xml:space="preserve">C04, R08</t>
  </si>
  <si>
    <t xml:space="preserve">Built 28 Oct: support.request_categories (9 categories) in 0071</t>
  </si>
  <si>
    <t xml:space="preserve">F21</t>
  </si>
  <si>
    <t xml:space="preserve">MCP Tool Layer</t>
  </si>
  <si>
    <t xml:space="preserve">Expose our tools as local MCP servers so every agent calls them the same way. Depends on: F8, F10, F10b, F19.</t>
  </si>
  <si>
    <t xml:space="preserve">• Local MCP servers expose customer data, RM data, knowledge search, tickets, calendar and documents
• Agents call tools only through the MCP client
• Allow-lists and decide() are still enforced on the server side
• Every call carries the request_id and appears as a trace span
• Direct calls are removed or kept behind a flag
How to build:
1. Wrap existing service functions as MCP tools
2. Point agents at the MCP client
3. Check traces show each tool call</t>
  </si>
  <si>
    <t xml:space="preserve">Built 28 Oct: services/tools.py + app/mcp_server.py + scripts/mcp_server.py; TOOL_TRANSPORT=mcp</t>
  </si>
  <si>
    <t xml:space="preserve">F22</t>
  </si>
  <si>
    <t xml:space="preserve">LangSmith Tracing and Evaluation Harness</t>
  </si>
  <si>
    <t xml:space="preserve">Run our test cases automatically and score them. Depends on: F14, F15, F16.</t>
  </si>
  <si>
    <t xml:space="preserve">• Every run is traced to LangSmith with node, agent and tool spans, linked by request_id
• Only redacted text is sent to LangSmith
• A dataset holds the 20 test cases (C01–C10, R01–R10) in the agreed template
• Evaluators: schema (structure, required fields), competency (LLM-as-judge with a written rubric), trajectory (expected nodes, agents and tools, in order)
• One command runs all cases and outputs pass rate per evaluator and per persona
• Results table and 2 example traces (one pass, one fail + fix) ready for the slides
How to build:
1. Add LangSmith env settings and tracing
2. Load test cases into a dataset
3. Write the three evaluators
4. Write the run script with evaluate()</t>
  </si>
  <si>
    <t xml:space="preserve">All</t>
  </si>
  <si>
    <t xml:space="preserve">F23</t>
  </si>
  <si>
    <t xml:space="preserve">Model Comparison and Consistency Tests</t>
  </si>
  <si>
    <t xml:space="preserve">Compare models and check results are stable. Depends on: F22.</t>
  </si>
  <si>
    <t xml:space="preserve">• The same dataset runs on 2–3 OpenRouter models
• For each model: pass rate, average latency, tokens and cost per conversation
• Each case runs 3 times; triage, priority order and guardrail results must match every time
• Results and the chosen model are written up for the report</t>
  </si>
  <si>
    <t xml:space="preserve">F24</t>
  </si>
  <si>
    <t xml:space="preserve">Audit Trail Walkthrough (administrator view)</t>
  </si>
  <si>
    <t xml:space="preserve">Show how an administrator or compliance officer traces a decision, without building an admin app. Depends on: F3, F19, F22.</t>
  </si>
  <si>
    <t xml:space="preserve">• A script rebuilds one request end to end: chat turn → plan → agents → tools → validation → confirmation → receipt → ticket → audit events
• Output is a readable timeline with request_id, times, actors and decisions
• The audit hash chain verifies with no gaps
• One sample is used in the slides and report
• Out of scope: an admin user interface</t>
  </si>
  <si>
    <t xml:space="preserve">R03</t>
  </si>
  <si>
    <t xml:space="preserve">Built 28 Oct: Migration 0072 + scripts/audit_walkthrough.py</t>
  </si>
  <si>
    <t xml:space="preserve">QA1</t>
  </si>
  <si>
    <t xml:space="preserve">Test Case Set (template + 20 cases)</t>
  </si>
  <si>
    <t xml:space="preserve">Write and maintain the test cases the evaluation harness runs. Depends on: personas agreed.</t>
  </si>
  <si>
    <t xml:space="preserve">• Every case uses the agreed template: ID, persona, category, type, priority, backlog story, UBS feedback, owner, setup, input, orchestrator steps, specialist agents, tools, agent-level checks, priority order and escalation, expected output, must not happen, hand-off, checks and pass criteria, run record
• 10 cases for Michelle (C01–C10) and 10 for Sophie (R01–R10), updated from Alex/Marcus to the new personas
• Mix per persona: about 4 normal, 3 guardrail, 2 edge and 1 attack
• Every Must story has at least one case (see the Test cases column); every UBS feedback point is covered
• Each case has an owner and is re-run after any fix, with the result recorded</t>
  </si>
  <si>
    <t xml:space="preserve">CC</t>
  </si>
  <si>
    <t xml:space="preserve">Common acceptance criteria (apply to every story)</t>
  </si>
  <si>
    <t xml:space="preserve">Shared rules every chatbot story must meet, written once instead of repeated in each story.</t>
  </si>
  <si>
    <t xml:space="preserve">- Asks a clarifying question when the request is unclear or missing details, instead of guessing.
- Answers only from approved knowledge or the customer's own records; never invents figures, fees, dates or procedures.
- When it cannot help, says so and directs the customer to the right official channel or a person, with the conversation context.
- A "Talk to a person" option is available at any point.
- Does not give personalised investment, legal or tax advice, and says so when asked.
[NEW] Never approves, rejects or decides a request, and says who does.
[NEW] Checks the user is signed in (with MFA where required) before anything account-specific; general questions need no sign-in.
[NEW] Anything it cannot resolve ends as a ticket with a reference number, raised only after the user confirms.
[NEW] Every reply is traceable: one request_id links the chat, trace, audit events and any ticket.
[NEW] Client messages written by the bot for an RM are drafts until the RM approves them.</t>
  </si>
  <si>
    <t xml:space="preserve">#1, #2, #5, #6</t>
  </si>
  <si>
    <t xml:space="preserve">C05, C10, R08</t>
  </si>
  <si>
    <t xml:space="preserve">Built 28 Oct: Never decides, ticket on unresolved, request_id traceability</t>
  </si>
  <si>
    <t xml:space="preserve">Persona 1 - Michelle, Time-Poor Wealth Client (merges old personas 1–3, client side)</t>
  </si>
  <si>
    <t xml:space="preserve">CR1</t>
  </si>
  <si>
    <t xml:space="preserve">Personalised Document Checklist</t>
  </si>
  <si>
    <t xml:space="preserve">As a client responding to a compliance review, I want the chatbot to list the documents requested in my notice and show which are still outstanding, so that I can prepare and submit everything without overlooking a requirement.</t>
  </si>
  <si>
    <t xml:space="preserve">- Given a compliance notice, the chatbot lists each document explicitly requested, with submission instructions from the notice or approved guidance.
- The chatbot does not add document requirements that are not in the notice.
- Each item shows one status: not prepared, prepared, submitted – awaiting review, or unknown; an unknown status is never shown as missing.
- The client can mark items as prepared or not prepared, and the checklist updates straight away.
- A document is never shown as accepted unless the authorised system confirms acceptance.
- If the notice is incomplete or unclear, the chatbot recommends contacting the bank.</t>
  </si>
  <si>
    <t xml:space="preserve">Moved</t>
  </si>
  <si>
    <t xml:space="preserve">C07</t>
  </si>
  <si>
    <t xml:space="preserve">Core need</t>
  </si>
  <si>
    <t xml:space="preserve">CR7</t>
  </si>
  <si>
    <t xml:space="preserve">Upload a Document</t>
  </si>
  <si>
    <t xml:space="preserve">As a client responding to a compliance review, I want to upload a requested document through the chatbot, so that I can submit it without visiting a branch or emailing it.</t>
  </si>
  <si>
    <t xml:space="preserve">- A logged-in client can upload a file against a checklist item.
- Allowed formats and size limits are shown before upload; other files are rejected with a clear message.
- Uploaded files are stored privately and can be read only by the client and the bank.
- After a successful upload, the checklist item shows submitted – awaiting review.</t>
  </si>
  <si>
    <t xml:space="preserve">C08</t>
  </si>
  <si>
    <t xml:space="preserve">CR2</t>
  </si>
  <si>
    <t xml:space="preserve">AI-Assisted Document Pre-Check</t>
  </si>
  <si>
    <t xml:space="preserve">As a client submitting supporting documents, I want the chatbot to identify potential document issues immediately, so that I can correct them before formal review instead of waiting several working days to learn that something is missing or unsuitable.</t>
  </si>
  <si>
    <t xml:space="preserve">- For an uploaded document, the system checks that the file opens, the page count matches what is expected, and the required fields are present.
- For each issue found, the chatbot explains what is wrong and how to fix it, in the same chat.
- If the document cannot be assessed reliably (e.g. not legible), the chatbot says so instead of giving a result.
- The result is labelled as a preliminary check, not formal compliance approval.
[NEW] Flags documents that are expired, unclear, or may need translation or certification (e.g. foreign-issued)</t>
  </si>
  <si>
    <t xml:space="preserve">Core need | Built 28 Oct: translation_needed finding (notice_checks.py)</t>
  </si>
  <si>
    <t xml:space="preserve">CR4</t>
  </si>
  <si>
    <t xml:space="preserve">Compliance Status &amp; Information Requests</t>
  </si>
  <si>
    <t xml:space="preserve">As a client in a compliance review, I want to see the latest review status, what I still need to do, and any further information the bank has asked for, so that I can respond without unnecessary delays.</t>
  </si>
  <si>
    <t xml:space="preserve">- Given an available review record, the chatbot shows the latest status and the date it was last updated.
- The status separates actions required from the client from actions pending with the bank.
- If status information is unavailable or outdated, the chatbot says so instead of inventing progress.
- For each recorded request for more information, the chatbot explains in plain language what is being asked.
- If the reason for a request is unclear, the chatbot does not speculate and directs the client to the support team.</t>
  </si>
  <si>
    <t xml:space="preserve">Gap: add case</t>
  </si>
  <si>
    <t xml:space="preserve">CR6</t>
  </si>
  <si>
    <t xml:space="preserve">Review Deadline Reminders</t>
  </si>
  <si>
    <t xml:space="preserve">As a client with a pending compliance request, I want to receive reminders of relevant deadlines and outstanding actions, so that I can respond within the required timeframe.</t>
  </si>
  <si>
    <t xml:space="preserve">- Given an authorised deadline and an outstanding action, the system can generate a reminder according to its configured notification rules.
- The reminder identifies the outstanding action and the applicable deadline.
- The chatbot does not invent a deadline when none is recorded.
- The client is directed to the approved channel for completing the outstanding action.
- Reminders are sent only through supported channels and in accordance with the applicable notification preferences and privacy requirements.</t>
  </si>
  <si>
    <t xml:space="preserve">EB1</t>
  </si>
  <si>
    <t xml:space="preserve">Login</t>
  </si>
  <si>
    <t xml:space="preserve">As a customer, I want to securely log in to my banking account so that I can access personalised account information and interact with the chatbot.</t>
  </si>
  <si>
    <t xml:space="preserve">- The system provides a login page where customers enter their email address and password.
- Upon successful login, customers are redirected to the chatbot interface.
- If incorrect login credentials are entered, the system displays an appropriate error message.
- Unauthenticated customers cannot access personalised account information.
- The login session lasts until the customer logs out or the session expires; logging out ends access to personalised information until they log in again.</t>
  </si>
  <si>
    <t xml:space="preserve">Kar Mun</t>
  </si>
  <si>
    <t xml:space="preserve">EB6</t>
  </si>
  <si>
    <t xml:space="preserve">Product &amp; Service Information (no sign-in)</t>
  </si>
  <si>
    <t xml:space="preserve">As a customer, I want to ask about the bank's account products and common services without logging in, so that I can get help without contacting a customer service officer.</t>
  </si>
  <si>
    <t xml:space="preserve">- Without login, the chatbot answers general questions about account features, fees, limits and interest.
- The chatbot answers common service enquiries, such as fund transfers, updating personal details, requesting statements and accessing online banking.
- The chatbot gives clear, step-by-step instructions for common banking procedures, written in plain language.
- Where an action has to be done elsewhere, the chatbot links to the right place in the app or website.
[NEW] Guest answers never include or ask for personal data; if a question needs her account, the bot asks her to sign in
[NEW] Quotes published fees only; fee discussions or negotiations go to her RM</t>
  </si>
  <si>
    <t xml:space="preserve">#1, #3</t>
  </si>
  <si>
    <t xml:space="preserve">C01, C02</t>
  </si>
  <si>
    <t xml:space="preserve">Built 28 Oct: Guest login prompt already existed; fee wording via knowledge</t>
  </si>
  <si>
    <t xml:space="preserve">EB8</t>
  </si>
  <si>
    <t xml:space="preserve">Suspicious Charge &amp; Lost Card</t>
  </si>
  <si>
    <t xml:space="preserve">As a customer, I want urgent help when I see a charge I don't recognise or my card is lost or stolen, so that I can protect my money quickly.</t>
  </si>
  <si>
    <t xml:space="preserve">- The chatbot gives urgent steps first and tells the customer to contact the bank immediately through official channels.
- The chatbot offers a temporary card block straight away, blocks the card only after the customer confirms, and then confirms in the chat that the block is active.
- Verification and permanent cancellation are sent to a human agent, who handles them when available.
- The chatbot explains the next steps, including how to get a replacement card.
- The chatbot does not claim to investigate or reverse the charge.
[NEW] Raises a P0 ticket to the fraud team with a reference number and notifies her RM</t>
  </si>
  <si>
    <t xml:space="preserve">C03</t>
  </si>
  <si>
    <t xml:space="preserve">Built 28 Oct: Fraud handoff now opens a P0 ticket automatically</t>
  </si>
  <si>
    <t xml:space="preserve">CL1</t>
  </si>
  <si>
    <t xml:space="preserve">Guided Request: Card Limit Change</t>
  </si>
  <si>
    <t xml:space="preserve">As Michelle, I want to request a higher card limit through the chatbot and understand what is needed and who decides, so that I don't use my RM's time on routine requests.</t>
  </si>
  <si>
    <t xml:space="preserve">- Recognises the card limit category (F20) and asks only for missing details: amount, temporary or permanent, dates, reason.
- Lists the documents needed from approved policy.
- Summarises the request and asks her to confirm before raising a ticket.
- Raises a ticket to the cards team and gives her the reference number and typical turnaround.
- Never says the request is approved, rejected or likely to succeed; states who decides.
- If she asks the bot to just approve it, it politely refuses and offers her RM.</t>
  </si>
  <si>
    <t xml:space="preserve">C04, C05</t>
  </si>
  <si>
    <t xml:space="preserve">UBS's own example | Built 28 Oct: My requests form + chat button; SQL checks card ownership and fields</t>
  </si>
  <si>
    <t xml:space="preserve">TK1</t>
  </si>
  <si>
    <t xml:space="preserve">Raise a Ticket</t>
  </si>
  <si>
    <t xml:space="preserve">As Michelle, I want the chatbot to log an issue it can't resolve and give me a reference number, so that I know it is being handled without chasing anyone.</t>
  </si>
  <si>
    <t xml:space="preserve">- When the bot can't resolve something, it offers to raise a ticket.
- It confirms the details with her first; a ticket is never raised without her knowing.
- The ticket carries the category, a short issue summary, any documents and the redacted conversation context.
- She gets a reference number in the chat.
- If the same issue is already open, the bot shows that ticket instead of creating a duplicate.</t>
  </si>
  <si>
    <t xml:space="preserve">Built 28 Oct: ticket.create action, dedup of open requests</t>
  </si>
  <si>
    <t xml:space="preserve">TK2</t>
  </si>
  <si>
    <t xml:space="preserve">Ticket Status in Plain Language</t>
  </si>
  <si>
    <t xml:space="preserve">As Michelle, I want to ask for the status of my ticket, so that I know where it stands without chasing my RM.</t>
  </si>
  <si>
    <t xml:space="preserve">- "What's the status of my ticket?" lists her open tickets with reference, status, last update and next step.
- Status is in plain language and never shows internal notes.
- Never says an issue is resolved unless the system records it.
- If a ticket is past its target time, says so and offers to contact her RM.</t>
  </si>
  <si>
    <t xml:space="preserve">Built 28 Oct: My requests page with plain-language status</t>
  </si>
  <si>
    <t xml:space="preserve">HO1</t>
  </si>
  <si>
    <t xml:space="preserve">Hand Off to My RM with Context</t>
  </si>
  <si>
    <t xml:space="preserve">As Michelle, I want sensitive or complex matters passed to my RM with the context, so that I never have to repeat myself.</t>
  </si>
  <si>
    <t xml:space="preserve">- For investment decisions, fee negotiations, complex transfers or sensitive matters, the bot offers a handoff to her RM.
- She sees what will be shared before it is sent.
- The RM receives the escalation summary in RM5.
- The bot tells her who will contact her and what to expect.</t>
  </si>
  <si>
    <t xml:space="preserve">C10</t>
  </si>
  <si>
    <t xml:space="preserve">Built 28 Oct: Existing Talk to a person + automatic ticket</t>
  </si>
  <si>
    <t xml:space="preserve">RC4</t>
  </si>
  <si>
    <t xml:space="preserve">Request Intake &amp; Status</t>
  </si>
  <si>
    <t xml:space="preserve">As a client, I want to send a request to my relationship manager at any time and check its progress, especially while my relationship manager is changing or unavailable, so that I know it is being handled and who to contact.</t>
  </si>
  <si>
    <t xml:space="preserve">- The chatbot collects a structured request: what is needed, urgency and deadline.
- The chatbot confirms the request was received, and it appears in the relationship manager's queue.
- The client can see each request's latest status (sent, seen, answered) and any action required from them.
- The chatbot does not say a request was transferred or completed unless the system records it.
- If the status is unavailable, the chatbot gives the follow-up contact channel.</t>
  </si>
  <si>
    <t xml:space="preserve">Merged</t>
  </si>
  <si>
    <t xml:space="preserve">New client requests now go through TK1/TK2 and the Ticket Service; reuse RC4's status code there</t>
  </si>
  <si>
    <t xml:space="preserve">RC1</t>
  </si>
  <si>
    <t xml:space="preserve">Smooth Relationship Manager Transition</t>
  </si>
  <si>
    <t xml:space="preserve">As a client whose relationship manager has changed, I want a personalised introduction to my new advisor or advisory team, so that I know who is looking after me and feel confident that my relationship with DemoBank will continue smoothly.</t>
  </si>
  <si>
    <t xml:space="preserve">- Given that a new relationship manager has been assigned, the chatbot retrieves the confirmed advisor details from an authorised system.
- The chatbot provides the new advisor's name, role and available contact details.
- The chatbot explains the change only with approved wording: no invented reasons and no promises the bank has not confirmed.
- If the new advisor's details are unavailable, the chatbot directs the client to a support channel.</t>
  </si>
  <si>
    <t xml:space="preserve">Client side of Sophie's inherited-client story</t>
  </si>
  <si>
    <t xml:space="preserve">RC2</t>
  </si>
  <si>
    <t xml:space="preserve">Handover Note for New Relationship Manager</t>
  </si>
  <si>
    <t xml:space="preserve">As a client moving to a new relationship manager, I want to prepare a short note of my preferences, priorities and the topics I want to discuss, so that my new advisor understands what matters to me and our first meeting is productive.</t>
  </si>
  <si>
    <t xml:space="preserve">- The chatbot drafts the note from information that is available and authorised for use.
- The client can add the questions and topics they want to discuss; the chatbot organises them into a short agenda within the note.
- The client can review and edit the whole note before sharing it.
- The chatbot names the recipient and explains how the note will be used.
- The note is shared only after the client's consent and the authorisation checks, and the chatbot confirms whether it was shared.</t>
  </si>
  <si>
    <t xml:space="preserve">Feeds Sophie's inherited-client brief (RM7)</t>
  </si>
  <si>
    <t xml:space="preserve">RC3</t>
  </si>
  <si>
    <t xml:space="preserve">Instant Meeting Scheduling</t>
  </si>
  <si>
    <t xml:space="preserve">As a client with a new relationship manager, I want to view available meeting times and schedule an introductory call through the chatbot, so that I can reconnect with a person conveniently and feel reassured about the transition.</t>
  </si>
  <si>
    <t xml:space="preserve">- The chatbot retrieves available appointment slots from an authorised scheduling system.
- The client can select a suitable date and time from the available options.
- The chatbot confirms the appointment only after the scheduling system confirms the booking.
- The confirmation includes the meeting date, time, format and relevant joining details where available.
- If direct scheduling is unavailable, the chatbot provides a verified alternative for contacting the advisory team.</t>
  </si>
  <si>
    <t xml:space="preserve">EB5</t>
  </si>
  <si>
    <t xml:space="preserve">Failed or Pending Transaction</t>
  </si>
  <si>
    <t xml:space="preserve">As a customer, I want to ask about failed or pending transactions so that I can understand the issue and know what to do next.</t>
  </si>
  <si>
    <t xml:space="preserve">- The chatbot explains the difference between failed and pending transactions in plain language.
- The chatbot gives troubleshooting steps for the type of issue reported.
- For logged-in customers, the chatbot explains the issue using their own transaction record.
- The chatbot does not claim to reverse, cancel or speed up a transaction.</t>
  </si>
  <si>
    <t xml:space="preserve">Secondary need: payment status</t>
  </si>
  <si>
    <t xml:space="preserve">EB4</t>
  </si>
  <si>
    <t xml:space="preserve">Credit Card Enquiry</t>
  </si>
  <si>
    <t xml:space="preserve">As a customer, I want to ask questions about my credit card, such as fees, limits and payment due dates, so that I can manage my card properly.</t>
  </si>
  <si>
    <t xml:space="preserve">- The chatbot provides the customer's credit card details, including credit limit, outstanding balance, minimum payment and payment due date.
- The chatbot explains applicable credit card fees and charges.
- The chatbot explains general credit card concepts, such as minimum payments, interest charges and available credit.
- When the customer has more than one card, the chatbot asks which card they mean.
[NEW] Requests to change the limit hand over to CL1</t>
  </si>
  <si>
    <t xml:space="preserve">Limit changes now handled by CL1</t>
  </si>
  <si>
    <t xml:space="preserve">EB2</t>
  </si>
  <si>
    <t xml:space="preserve">My Account Information</t>
  </si>
  <si>
    <t xml:space="preserve">As a customer, I want to ask about my own accounts, such as balances, recent transactions and fees charged, so that I can understand my account without having to call or visit a branch.</t>
  </si>
  <si>
    <t xml:space="preserve">- Before showing any account-specific information, the bot asks the customer to log in.
- Once logged in, the bot answers questions about balances, recent transactions, account details and fees charged.
- The bot can explain a specific charge or transaction in plain language (e.g. what a fee is for).
- Requests the bot cannot do (e.g. closing an account or disputing a transaction) are handed to a person or the right service channel.</t>
  </si>
  <si>
    <t xml:space="preserve">Could</t>
  </si>
  <si>
    <t xml:space="preserve">Deprioritised</t>
  </si>
  <si>
    <t xml:space="preserve">Not a core need for Michelle; build only if time allows</t>
  </si>
  <si>
    <t xml:space="preserve">EB3</t>
  </si>
  <si>
    <t xml:space="preserve">Loan Enquiry</t>
  </si>
  <si>
    <t xml:space="preserve">As a customer, I want to ask about available loan products, eligibility requirements and application procedures so that I can understand my borrowing options.</t>
  </si>
  <si>
    <t xml:space="preserve">- The chatbot explains available loan products, eligibility requirements and application procedures.
- The chatbot does not guarantee loan approval and states that the bank makes the final decision.
- The chatbot directs the customer to the appropriate banking channel for actual loan applications.</t>
  </si>
  <si>
    <t xml:space="preserve">Won't (this round)</t>
  </si>
  <si>
    <t xml:space="preserve">Not in the new persona</t>
  </si>
  <si>
    <t xml:space="preserve">DL1</t>
  </si>
  <si>
    <t xml:space="preserve">Authorised Delegate</t>
  </si>
  <si>
    <t xml:space="preserve">As Michelle, I want my assistant to submit documents for me with my authorisation, so that I don't handle admin myself.</t>
  </si>
  <si>
    <t xml:space="preserve">- Future scope: only mentioned in the presentation.</t>
  </si>
  <si>
    <t xml:space="preserve">Future</t>
  </si>
  <si>
    <t xml:space="preserve">Persona 2 - Sophie, Relationship Manager (new main user)</t>
  </si>
  <si>
    <t xml:space="preserve">RM1</t>
  </si>
  <si>
    <t xml:space="preserve">RM Sign-in and Client Book</t>
  </si>
  <si>
    <t xml:space="preserve">As Sophie, I want to sign in to an RM view and see my clients, so that I can work on them in one place.</t>
  </si>
  <si>
    <t xml:space="preserve">- Sophie signs in as an RM and sees the list of clients in her book.
- Clients outside her book cannot be opened, searched or mentioned by the assistant.
- The RM view is separate from the client chat.
- Note for slides: in practice this would sit inside the RM's existing workspace.</t>
  </si>
  <si>
    <t xml:space="preserve">R06</t>
  </si>
  <si>
    <t xml:space="preserve">RM2</t>
  </si>
  <si>
    <t xml:space="preserve">Ticket Inbox Ranked by Urgency</t>
  </si>
  <si>
    <t xml:space="preserve">As Sophie, I want my open tickets ranked by urgency, so that urgent cases reach me first.</t>
  </si>
  <si>
    <t xml:space="preserve">- Lists open tickets for clients in her book only.
- Order: P0 fraud or security → breaching target time → deadlines → the rest.
- Each row shows client, category, one-line summary, urgency, age or target time, and reference.
- "What are my open tickets and which are most urgent?" returns the same list in chat.</t>
  </si>
  <si>
    <t xml:space="preserve">R01</t>
  </si>
  <si>
    <t xml:space="preserve">RM3</t>
  </si>
  <si>
    <t xml:space="preserve">Ticket Summary</t>
  </si>
  <si>
    <t xml:space="preserve">As Sophie, I want any ticket condensed into a short brief, so that I can understand it in under a minute.</t>
  </si>
  <si>
    <t xml:space="preserve">- Covers: issue, history, actions taken, what is pending, owner, urgency and a suggested next step.
- Every fact links to the ticket event it came from; a link opens the full ticket.
- Missing information is flagged, not guessed.
- The assistant never closes or changes the ticket.</t>
  </si>
  <si>
    <t xml:space="preserve">#5, #6</t>
  </si>
  <si>
    <t xml:space="preserve">RM4</t>
  </si>
  <si>
    <t xml:space="preserve">Draft a Client Update</t>
  </si>
  <si>
    <t xml:space="preserve">As Sophie, I want the assistant to draft an update for a client on a ticket, so that I don't write it from scratch.</t>
  </si>
  <si>
    <t xml:space="preserve">- The draft uses approved wording and only facts on record.
- It is marked Draft; Sophie can edit it.
- It is sent only after Sophie approves it.
- No promises the bank hasn't confirmed.
- The audit log records the draft, her edits, who approved and the text sent; the client sees it through TK2.</t>
  </si>
  <si>
    <t xml:space="preserve">#2, #7</t>
  </si>
  <si>
    <t xml:space="preserve">R02, R03</t>
  </si>
  <si>
    <t xml:space="preserve">RM5</t>
  </si>
  <si>
    <t xml:space="preserve">Escalation Summary</t>
  </si>
  <si>
    <t xml:space="preserve">As Sophie, I want every escalation to arrive with a concise summary, so that I can act without calling the client back.</t>
  </si>
  <si>
    <t xml:space="preserve">- Includes: who the client is, issues raised, what the bot already said, what is outstanding and a suggested next step.
- Links to the ticket and to the redacted conversation summary.
- Urgent escalations (e.g. suspected fraud) are marked P0 and appear first in RM2.</t>
  </si>
  <si>
    <t xml:space="preserve">RM6</t>
  </si>
  <si>
    <t xml:space="preserve">Meeting History Summary</t>
  </si>
  <si>
    <t xml:space="preserve">As Sophie, I want past meeting notes summarised, including the previous RM's, so that I understand the client's history before we meet.</t>
  </si>
  <si>
    <t xml:space="preserve">- Summarises: what was discussed, decisions the client made, promises the bank made, open follow-ups and stated preferences.
- Every point cites the note's date and author.
- If nothing is on record, says so instead of guessing.
- Gives no investment recommendations.</t>
  </si>
  <si>
    <t xml:space="preserve">R04, R09</t>
  </si>
  <si>
    <t xml:space="preserve">RM7</t>
  </si>
  <si>
    <t xml:space="preserve">Pre-meeting and Inherited-client Brief</t>
  </si>
  <si>
    <t xml:space="preserve">As Sophie, I want one brief before a meeting or when I inherit a client, so that our first meeting starts from understanding.</t>
  </si>
  <si>
    <t xml:space="preserve">- Combines the meeting history (RM6), open tickets, pending reviews, recent chatbot interactions and what the client was told about the RM change.
- Includes the client's handover note (RC2) only with an active consent grant; otherwise shows "Handover note not shared by client".
- Flags gaps and suggests questions to ask.
- Fits on one screen, with every point linked to its source.</t>
  </si>
  <si>
    <t xml:space="preserve">#1, #6</t>
  </si>
  <si>
    <t xml:space="preserve">R04, R05</t>
  </si>
  <si>
    <t xml:space="preserve">RM8</t>
  </si>
  <si>
    <t xml:space="preserve">What Was the Client Told</t>
  </si>
  <si>
    <t xml:space="preserve">As Sophie, I want to see what the chatbot told a client and what they uploaded, so that I can stand behind it.</t>
  </si>
  <si>
    <t xml:space="preserve">- Shows the bot's statements and the client's uploads with dates, quoted rather than paraphrased.
- Only for clients in her book.</t>
  </si>
  <si>
    <t xml:space="preserve">RM9</t>
  </si>
  <si>
    <t xml:space="preserve">Pre-filled Bot-raised Tickets</t>
  </si>
  <si>
    <t xml:space="preserve">As Sophie, I want tickets raised by the bot to arrive categorised with context, so that nobody has to re-ask the client.</t>
  </si>
  <si>
    <t xml:space="preserve">- Bot-raised tickets have category, summary, attachments and conversation context filled in.
- Missing required fields are listed on the ticket.</t>
  </si>
  <si>
    <t xml:space="preserve">RM13</t>
  </si>
  <si>
    <t xml:space="preserve">Meeting Notes into Follow-up Tickets</t>
  </si>
  <si>
    <t xml:space="preserve">As Sophie, I want my meeting notes turned into follow-up tickets, so that nothing promised is forgotten.</t>
  </si>
  <si>
    <t xml:space="preserve">- Extracts only actions stated in the notes.
- Each draft ticket has category, owner team and due date.
- Tickets are created only after Sophie confirms each one.</t>
  </si>
  <si>
    <t xml:space="preserve">R07</t>
  </si>
  <si>
    <t xml:space="preserve">RM10</t>
  </si>
  <si>
    <t xml:space="preserve">Client Review Status at a Glance</t>
  </si>
  <si>
    <t xml:space="preserve">As Sophie, I want to see every client's compliance review status and missing documents.</t>
  </si>
  <si>
    <t xml:space="preserve">- Future scope: shown in the presentation only.</t>
  </si>
  <si>
    <t xml:space="preserve">RM11</t>
  </si>
  <si>
    <t xml:space="preserve">Proactive Alerts and Daily Digest</t>
  </si>
  <si>
    <t xml:space="preserve">As Sophie, I want urgent alerts, a daily digest and reminders for stuck reviews.</t>
  </si>
  <si>
    <t xml:space="preserve">RM12</t>
  </si>
  <si>
    <t xml:space="preserve">Introductions for Inherited Clients</t>
  </si>
  <si>
    <t xml:space="preserve">As Sophie, I want help with a bank-authorised introduction and proposing meeting times.</t>
  </si>
  <si>
    <t xml:space="preserve">Backlog summary</t>
  </si>
  <si>
    <t xml:space="preserve">All figures update from the Product Backlog sheet.</t>
  </si>
  <si>
    <t xml:space="preserve">Stories</t>
  </si>
  <si>
    <t xml:space="preserve">Not completed</t>
  </si>
  <si>
    <t xml:space="preserve">Points not completed</t>
  </si>
  <si>
    <t xml:space="preserve">Total</t>
  </si>
  <si>
    <t xml:space="preserve">Change type</t>
  </si>
  <si>
    <t xml:space="preserve">Story points are suggested only for new stories; blank means not estimated yet.</t>
  </si>
  <si>
    <t xml:space="preserve">How to read this backlog</t>
  </si>
  <si>
    <t xml:space="preserve">Priority: Must = needed for the final demo · Should = build if time allows · Could = future scope, mention on slides · Won't = dropped this round</t>
  </si>
  <si>
    <t xml:space="preserve">Change: New = new story · Updated = acceptance criteria added (marked [NEW]) · Moved = same story, new persona section · Merged = replaced by newer stories · Unchanged · Deprioritised</t>
  </si>
  <si>
    <t xml:space="preserve">Test cases: the test case IDs (from the plan doc's Test cases tab) that prove each story; red 'Gap' = a Must story with no test case yet.</t>
  </si>
  <si>
    <t xml:space="preserve">UBS feedback: #1 CID, identity and consent · #2 bot never decides · #3 general help on client side, RM as main user · #4 request categories · #5 tickets to backend · #6 evaluation, testing, traceability · #7 audit trail / administrator view</t>
  </si>
  <si>
    <t xml:space="preserve">Fill in Assigned To and Completed? as work progresses. Points for new stories are suggestions.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</si>
</sst>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name val="Arial"/>
      <family val="0"/>
      <charset val="1"/>
    </font>
    <font>
      <b val="true"/>
      <sz val="10"/>
      <name val="Arial"/>
      <family val="0"/>
      <charset val="1"/>
    </font>
    <font>
      <sz val="10"/>
      <name val="Arial"/>
      <family val="0"/>
      <charset val="1"/>
    </font>
    <font>
      <b val="true"/>
      <sz val="14"/>
      <name val="Arial"/>
      <family val="0"/>
      <charset val="1"/>
    </font>
    <font>
      <i val="true"/>
      <sz val="11"/>
      <color rgb="FF666666"/>
      <name val="Arial"/>
      <family val="0"/>
      <charset val="1"/>
    </font>
    <font>
      <sz val="11"/>
      <name val="Arial"/>
      <family val="0"/>
      <charset val="1"/>
    </font>
  </fonts>
  <fills count="9">
    <fill>
      <patternFill patternType="none"/>
    </fill>
    <fill>
      <patternFill patternType="gray125"/>
    </fill>
    <fill>
      <patternFill patternType="solid">
        <fgColor rgb="FF7A1A1A"/>
        <bgColor rgb="FF800000"/>
      </patternFill>
    </fill>
    <fill>
      <patternFill patternType="solid">
        <fgColor rgb="FFEBEBEB"/>
        <bgColor rgb="FFF0EFEC"/>
      </patternFill>
    </fill>
    <fill>
      <patternFill patternType="solid">
        <fgColor rgb="FFF9EEDA"/>
        <bgColor rgb="FFFBEBEB"/>
      </patternFill>
    </fill>
    <fill>
      <patternFill patternType="solid">
        <fgColor rgb="FFE5F4E4"/>
        <bgColor rgb="FFF0EFEC"/>
      </patternFill>
    </fill>
    <fill>
      <patternFill patternType="solid">
        <fgColor rgb="FFFBEBEB"/>
        <bgColor rgb="FFF9EEDA"/>
      </patternFill>
    </fill>
    <fill>
      <patternFill patternType="solid">
        <fgColor rgb="FFE7F1FB"/>
        <bgColor rgb="FFF0EFEC"/>
      </patternFill>
    </fill>
    <fill>
      <patternFill patternType="solid">
        <fgColor rgb="FFF0EFEC"/>
        <bgColor rgb="FFEBEBEB"/>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7A1A1A"/>
          <bgColor rgb="FF000000"/>
        </patternFill>
      </fill>
    </dxf>
    <dxf>
      <fill>
        <patternFill patternType="solid">
          <fgColor rgb="FFEBEBEB"/>
          <bgColor rgb="FF000000"/>
        </patternFill>
      </fill>
    </dxf>
    <dxf>
      <fill>
        <patternFill patternType="solid">
          <bgColor rgb="FF000000"/>
        </patternFill>
      </fill>
    </dxf>
    <dxf>
      <fill>
        <patternFill patternType="solid">
          <fgColor rgb="FFFFFFFF"/>
          <bgColor rgb="FF000000"/>
        </patternFill>
      </fill>
    </dxf>
    <dxf>
      <fill>
        <patternFill patternType="solid">
          <fgColor rgb="FFE5F4E4"/>
          <bgColor rgb="FF000000"/>
        </patternFill>
      </fill>
    </dxf>
    <dxf>
      <fill>
        <patternFill patternType="solid">
          <fgColor rgb="FFE7F1FB"/>
          <bgColor rgb="FF000000"/>
        </patternFill>
      </fill>
    </dxf>
    <dxf>
      <fill>
        <patternFill patternType="solid">
          <fgColor rgb="FFF0EFEC"/>
          <bgColor rgb="FF000000"/>
        </patternFill>
      </fill>
    </dxf>
    <dxf>
      <fill>
        <patternFill patternType="solid">
          <fgColor rgb="FFF9EEDA"/>
          <bgColor rgb="FF000000"/>
        </patternFill>
      </fill>
    </dxf>
    <dxf>
      <fill>
        <patternFill patternType="solid">
          <fgColor rgb="FFFBEBEB"/>
          <bgColor rgb="FF000000"/>
        </patternFill>
      </fill>
    </dxf>
  </dxfs>
  <colors>
    <indexedColors>
      <rgbColor rgb="FF000000"/>
      <rgbColor rgb="FFFFFFFF"/>
      <rgbColor rgb="FFFF0000"/>
      <rgbColor rgb="FF00FF00"/>
      <rgbColor rgb="FF0000FF"/>
      <rgbColor rgb="FFFFFF00"/>
      <rgbColor rgb="FFFF00FF"/>
      <rgbColor rgb="FF00FFFF"/>
      <rgbColor rgb="FF7A1A1A"/>
      <rgbColor rgb="FF008000"/>
      <rgbColor rgb="FF000080"/>
      <rgbColor rgb="FF808000"/>
      <rgbColor rgb="FF800080"/>
      <rgbColor rgb="FF008080"/>
      <rgbColor rgb="FFC0C0C0"/>
      <rgbColor rgb="FF808080"/>
      <rgbColor rgb="FF9999FF"/>
      <rgbColor rgb="FF993366"/>
      <rgbColor rgb="FFF9EEDA"/>
      <rgbColor rgb="FFE7F1FB"/>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BEBEB"/>
      <rgbColor rgb="FFE5F4E4"/>
      <rgbColor rgb="FFF0EFEC"/>
      <rgbColor rgb="FF99CCFF"/>
      <rgbColor rgb="FFFF99CC"/>
      <rgbColor rgb="FFCC99FF"/>
      <rgbColor rgb="FFFBEBEB"/>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40"/>
    <col collapsed="false" customWidth="true" hidden="false" outlineLevel="0" max="4" min="4" style="0" width="70"/>
    <col collapsed="false" customWidth="true" hidden="false" outlineLevel="0" max="5" min="5" style="0" width="12"/>
    <col collapsed="false" customWidth="true" hidden="false" outlineLevel="0" max="6" min="6" style="0" width="11"/>
    <col collapsed="false" customWidth="true" hidden="false" outlineLevel="0" max="7" min="7" style="0" width="10"/>
    <col collapsed="false" customWidth="true" hidden="false" outlineLevel="0" max="10" min="8" style="0" width="13"/>
    <col collapsed="false" customWidth="true" hidden="false" outlineLevel="0" max="11" min="11" style="0" width="16"/>
    <col collapsed="false" customWidth="true" hidden="false" outlineLevel="0" max="12" min="12" style="0" width="30"/>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s">
        <v>12</v>
      </c>
      <c r="B2" s="2"/>
      <c r="C2" s="2"/>
      <c r="D2" s="2"/>
      <c r="E2" s="2"/>
      <c r="F2" s="2"/>
      <c r="G2" s="2"/>
      <c r="H2" s="2"/>
      <c r="I2" s="2"/>
      <c r="J2" s="2"/>
      <c r="K2" s="2"/>
      <c r="L2" s="2"/>
    </row>
    <row r="3" customFormat="false" ht="23.85" hidden="false" customHeight="false" outlineLevel="0" collapsed="false">
      <c r="A3" s="3" t="s">
        <v>13</v>
      </c>
      <c r="B3" s="4" t="s">
        <v>14</v>
      </c>
      <c r="C3" s="4" t="s">
        <v>15</v>
      </c>
      <c r="D3" s="4"/>
      <c r="E3" s="4" t="s">
        <v>16</v>
      </c>
      <c r="F3" s="4" t="s">
        <v>17</v>
      </c>
      <c r="G3" s="4"/>
      <c r="H3" s="4" t="s">
        <v>18</v>
      </c>
      <c r="I3" s="4" t="s">
        <v>19</v>
      </c>
      <c r="J3" s="4"/>
      <c r="K3" s="4"/>
      <c r="L3" s="4"/>
    </row>
    <row r="4" customFormat="false" ht="180.55" hidden="false" customHeight="false" outlineLevel="0" collapsed="false">
      <c r="A4" s="3" t="s">
        <v>20</v>
      </c>
      <c r="B4" s="4" t="s">
        <v>21</v>
      </c>
      <c r="C4" s="4" t="s">
        <v>22</v>
      </c>
      <c r="D4" s="4" t="s">
        <v>23</v>
      </c>
      <c r="E4" s="4" t="s">
        <v>16</v>
      </c>
      <c r="F4" s="4" t="s">
        <v>24</v>
      </c>
      <c r="G4" s="4"/>
      <c r="H4" s="4" t="s">
        <v>18</v>
      </c>
      <c r="I4" s="5" t="s">
        <v>25</v>
      </c>
      <c r="J4" s="4" t="s">
        <v>26</v>
      </c>
      <c r="K4" s="4"/>
      <c r="L4" s="4" t="s">
        <v>27</v>
      </c>
    </row>
    <row r="5" customFormat="false" ht="180.55" hidden="false" customHeight="false" outlineLevel="0" collapsed="false">
      <c r="A5" s="3" t="s">
        <v>28</v>
      </c>
      <c r="B5" s="4" t="s">
        <v>29</v>
      </c>
      <c r="C5" s="4" t="s">
        <v>30</v>
      </c>
      <c r="D5" s="4" t="s">
        <v>31</v>
      </c>
      <c r="E5" s="4" t="s">
        <v>16</v>
      </c>
      <c r="F5" s="4" t="s">
        <v>17</v>
      </c>
      <c r="G5" s="4"/>
      <c r="H5" s="4" t="s">
        <v>18</v>
      </c>
      <c r="I5" s="4" t="s">
        <v>19</v>
      </c>
      <c r="J5" s="4"/>
      <c r="K5" s="4"/>
      <c r="L5" s="4" t="s">
        <v>32</v>
      </c>
    </row>
    <row r="6" customFormat="false" ht="180.55" hidden="false" customHeight="false" outlineLevel="0" collapsed="false">
      <c r="A6" s="3" t="s">
        <v>33</v>
      </c>
      <c r="B6" s="4" t="s">
        <v>34</v>
      </c>
      <c r="C6" s="4" t="s">
        <v>35</v>
      </c>
      <c r="D6" s="4" t="s">
        <v>36</v>
      </c>
      <c r="E6" s="4"/>
      <c r="F6" s="4" t="s">
        <v>24</v>
      </c>
      <c r="G6" s="4" t="n">
        <v>3</v>
      </c>
      <c r="H6" s="4" t="s">
        <v>18</v>
      </c>
      <c r="I6" s="6" t="s">
        <v>37</v>
      </c>
      <c r="J6" s="4" t="s">
        <v>38</v>
      </c>
      <c r="K6" s="4" t="s">
        <v>39</v>
      </c>
      <c r="L6" s="4" t="s">
        <v>40</v>
      </c>
    </row>
    <row r="7" customFormat="false" ht="158.2" hidden="false" customHeight="false" outlineLevel="0" collapsed="false">
      <c r="A7" s="3" t="s">
        <v>41</v>
      </c>
      <c r="B7" s="4" t="s">
        <v>42</v>
      </c>
      <c r="C7" s="4" t="s">
        <v>43</v>
      </c>
      <c r="D7" s="4" t="s">
        <v>44</v>
      </c>
      <c r="E7" s="4" t="s">
        <v>16</v>
      </c>
      <c r="F7" s="4" t="s">
        <v>17</v>
      </c>
      <c r="G7" s="4"/>
      <c r="H7" s="4" t="s">
        <v>18</v>
      </c>
      <c r="I7" s="4" t="s">
        <v>19</v>
      </c>
      <c r="J7" s="4" t="s">
        <v>45</v>
      </c>
      <c r="K7" s="4"/>
      <c r="L7" s="4" t="s">
        <v>46</v>
      </c>
    </row>
    <row r="8" customFormat="false" ht="147" hidden="false" customHeight="false" outlineLevel="0" collapsed="false">
      <c r="A8" s="3" t="s">
        <v>47</v>
      </c>
      <c r="B8" s="4" t="s">
        <v>48</v>
      </c>
      <c r="C8" s="4" t="s">
        <v>49</v>
      </c>
      <c r="D8" s="4" t="s">
        <v>50</v>
      </c>
      <c r="E8" s="4" t="s">
        <v>16</v>
      </c>
      <c r="F8" s="4" t="s">
        <v>17</v>
      </c>
      <c r="G8" s="4"/>
      <c r="H8" s="4" t="s">
        <v>18</v>
      </c>
      <c r="I8" s="4" t="s">
        <v>19</v>
      </c>
      <c r="J8" s="4"/>
      <c r="K8" s="4"/>
      <c r="L8" s="4"/>
    </row>
    <row r="9" customFormat="false" ht="180.55" hidden="false" customHeight="false" outlineLevel="0" collapsed="false">
      <c r="A9" s="3" t="s">
        <v>51</v>
      </c>
      <c r="B9" s="4" t="s">
        <v>52</v>
      </c>
      <c r="C9" s="4" t="s">
        <v>53</v>
      </c>
      <c r="D9" s="4" t="s">
        <v>54</v>
      </c>
      <c r="E9" s="4" t="s">
        <v>55</v>
      </c>
      <c r="F9" s="4" t="s">
        <v>17</v>
      </c>
      <c r="G9" s="4"/>
      <c r="H9" s="4" t="s">
        <v>18</v>
      </c>
      <c r="I9" s="4" t="s">
        <v>19</v>
      </c>
      <c r="J9" s="4" t="s">
        <v>56</v>
      </c>
      <c r="K9" s="4" t="s">
        <v>57</v>
      </c>
      <c r="L9" s="4"/>
    </row>
    <row r="10" customFormat="false" ht="147" hidden="false" customHeight="false" outlineLevel="0" collapsed="false">
      <c r="A10" s="3" t="s">
        <v>58</v>
      </c>
      <c r="B10" s="4" t="s">
        <v>59</v>
      </c>
      <c r="C10" s="4" t="s">
        <v>60</v>
      </c>
      <c r="D10" s="4" t="s">
        <v>61</v>
      </c>
      <c r="E10" s="4" t="s">
        <v>16</v>
      </c>
      <c r="F10" s="4" t="s">
        <v>17</v>
      </c>
      <c r="G10" s="4"/>
      <c r="H10" s="4" t="s">
        <v>18</v>
      </c>
      <c r="I10" s="4" t="s">
        <v>19</v>
      </c>
      <c r="J10" s="4" t="s">
        <v>62</v>
      </c>
      <c r="K10" s="4"/>
      <c r="L10" s="4" t="s">
        <v>63</v>
      </c>
    </row>
    <row r="11" customFormat="false" ht="202.95" hidden="false" customHeight="false" outlineLevel="0" collapsed="false">
      <c r="A11" s="3" t="s">
        <v>64</v>
      </c>
      <c r="B11" s="4" t="s">
        <v>65</v>
      </c>
      <c r="C11" s="4" t="s">
        <v>66</v>
      </c>
      <c r="D11" s="4" t="s">
        <v>67</v>
      </c>
      <c r="E11" s="4" t="s">
        <v>55</v>
      </c>
      <c r="F11" s="4" t="s">
        <v>68</v>
      </c>
      <c r="G11" s="4"/>
      <c r="H11" s="4" t="s">
        <v>18</v>
      </c>
      <c r="I11" s="5" t="s">
        <v>25</v>
      </c>
      <c r="J11" s="4" t="s">
        <v>45</v>
      </c>
      <c r="K11" s="4"/>
      <c r="L11" s="4"/>
    </row>
    <row r="12" customFormat="false" ht="169.4" hidden="false" customHeight="false" outlineLevel="0" collapsed="false">
      <c r="A12" s="3" t="s">
        <v>69</v>
      </c>
      <c r="B12" s="4" t="s">
        <v>70</v>
      </c>
      <c r="C12" s="4" t="s">
        <v>71</v>
      </c>
      <c r="D12" s="4" t="s">
        <v>72</v>
      </c>
      <c r="E12" s="4" t="s">
        <v>55</v>
      </c>
      <c r="F12" s="4" t="s">
        <v>24</v>
      </c>
      <c r="G12" s="4"/>
      <c r="H12" s="4" t="s">
        <v>18</v>
      </c>
      <c r="I12" s="5" t="s">
        <v>25</v>
      </c>
      <c r="J12" s="4" t="s">
        <v>73</v>
      </c>
      <c r="K12" s="4"/>
      <c r="L12" s="4" t="s">
        <v>74</v>
      </c>
    </row>
    <row r="13" customFormat="false" ht="158.2" hidden="false" customHeight="false" outlineLevel="0" collapsed="false">
      <c r="A13" s="3" t="s">
        <v>75</v>
      </c>
      <c r="B13" s="4" t="s">
        <v>76</v>
      </c>
      <c r="C13" s="4" t="s">
        <v>77</v>
      </c>
      <c r="D13" s="4" t="s">
        <v>78</v>
      </c>
      <c r="E13" s="4" t="s">
        <v>55</v>
      </c>
      <c r="F13" s="4" t="s">
        <v>17</v>
      </c>
      <c r="G13" s="4"/>
      <c r="H13" s="4" t="s">
        <v>18</v>
      </c>
      <c r="I13" s="4" t="s">
        <v>19</v>
      </c>
      <c r="J13" s="4" t="s">
        <v>56</v>
      </c>
      <c r="K13" s="4" t="s">
        <v>79</v>
      </c>
      <c r="L13" s="4"/>
    </row>
    <row r="14" customFormat="false" ht="135.8" hidden="false" customHeight="false" outlineLevel="0" collapsed="false">
      <c r="A14" s="3" t="s">
        <v>80</v>
      </c>
      <c r="B14" s="4" t="s">
        <v>81</v>
      </c>
      <c r="C14" s="4" t="s">
        <v>82</v>
      </c>
      <c r="D14" s="4" t="s">
        <v>83</v>
      </c>
      <c r="E14" s="4"/>
      <c r="F14" s="4" t="s">
        <v>68</v>
      </c>
      <c r="G14" s="4" t="n">
        <v>3</v>
      </c>
      <c r="H14" s="4" t="s">
        <v>18</v>
      </c>
      <c r="I14" s="6" t="s">
        <v>37</v>
      </c>
      <c r="J14" s="4" t="s">
        <v>84</v>
      </c>
      <c r="K14" s="4" t="s">
        <v>85</v>
      </c>
      <c r="L14" s="4"/>
    </row>
    <row r="15" customFormat="false" ht="169.4" hidden="false" customHeight="false" outlineLevel="0" collapsed="false">
      <c r="A15" s="3" t="s">
        <v>86</v>
      </c>
      <c r="B15" s="4" t="s">
        <v>87</v>
      </c>
      <c r="C15" s="4" t="s">
        <v>88</v>
      </c>
      <c r="D15" s="4" t="s">
        <v>89</v>
      </c>
      <c r="E15" s="4" t="s">
        <v>16</v>
      </c>
      <c r="F15" s="4" t="s">
        <v>17</v>
      </c>
      <c r="G15" s="4"/>
      <c r="H15" s="4" t="s">
        <v>18</v>
      </c>
      <c r="I15" s="4" t="s">
        <v>19</v>
      </c>
      <c r="J15" s="4" t="s">
        <v>56</v>
      </c>
      <c r="K15" s="4"/>
      <c r="L15" s="4"/>
    </row>
    <row r="16" customFormat="false" ht="113.4" hidden="false" customHeight="false" outlineLevel="0" collapsed="false">
      <c r="A16" s="3" t="s">
        <v>90</v>
      </c>
      <c r="B16" s="4" t="s">
        <v>91</v>
      </c>
      <c r="C16" s="4" t="s">
        <v>92</v>
      </c>
      <c r="D16" s="4" t="s">
        <v>93</v>
      </c>
      <c r="E16" s="4"/>
      <c r="F16" s="4" t="s">
        <v>68</v>
      </c>
      <c r="G16" s="4" t="n">
        <v>3</v>
      </c>
      <c r="H16" s="4" t="s">
        <v>18</v>
      </c>
      <c r="I16" s="6" t="s">
        <v>37</v>
      </c>
      <c r="J16" s="4" t="s">
        <v>62</v>
      </c>
      <c r="K16" s="4"/>
      <c r="L16" s="4"/>
    </row>
    <row r="17" customFormat="false" ht="158.2" hidden="false" customHeight="false" outlineLevel="0" collapsed="false">
      <c r="A17" s="3" t="s">
        <v>94</v>
      </c>
      <c r="B17" s="4" t="s">
        <v>95</v>
      </c>
      <c r="C17" s="4" t="s">
        <v>96</v>
      </c>
      <c r="D17" s="4" t="s">
        <v>97</v>
      </c>
      <c r="E17" s="4"/>
      <c r="F17" s="4" t="s">
        <v>17</v>
      </c>
      <c r="G17" s="4"/>
      <c r="H17" s="4" t="s">
        <v>18</v>
      </c>
      <c r="I17" s="4" t="s">
        <v>19</v>
      </c>
      <c r="J17" s="4" t="s">
        <v>98</v>
      </c>
      <c r="K17" s="4"/>
      <c r="L17" s="4"/>
    </row>
    <row r="18" customFormat="false" ht="158.2" hidden="false" customHeight="false" outlineLevel="0" collapsed="false">
      <c r="A18" s="3" t="s">
        <v>99</v>
      </c>
      <c r="B18" s="4" t="s">
        <v>100</v>
      </c>
      <c r="C18" s="4" t="s">
        <v>101</v>
      </c>
      <c r="D18" s="4" t="s">
        <v>102</v>
      </c>
      <c r="E18" s="4"/>
      <c r="F18" s="4" t="s">
        <v>17</v>
      </c>
      <c r="G18" s="4"/>
      <c r="H18" s="4" t="s">
        <v>18</v>
      </c>
      <c r="I18" s="4" t="s">
        <v>19</v>
      </c>
      <c r="J18" s="4" t="s">
        <v>26</v>
      </c>
      <c r="K18" s="4"/>
      <c r="L18" s="4" t="s">
        <v>103</v>
      </c>
    </row>
    <row r="19" customFormat="false" ht="135.8" hidden="false" customHeight="false" outlineLevel="0" collapsed="false">
      <c r="A19" s="3" t="s">
        <v>104</v>
      </c>
      <c r="B19" s="4" t="s">
        <v>105</v>
      </c>
      <c r="C19" s="4" t="s">
        <v>106</v>
      </c>
      <c r="D19" s="4" t="s">
        <v>107</v>
      </c>
      <c r="E19" s="4"/>
      <c r="F19" s="4" t="s">
        <v>17</v>
      </c>
      <c r="G19" s="4"/>
      <c r="H19" s="4" t="s">
        <v>18</v>
      </c>
      <c r="I19" s="4" t="s">
        <v>19</v>
      </c>
      <c r="J19" s="4"/>
      <c r="K19" s="4"/>
      <c r="L19" s="4"/>
    </row>
    <row r="20" customFormat="false" ht="270.1" hidden="false" customHeight="false" outlineLevel="0" collapsed="false">
      <c r="A20" s="3" t="s">
        <v>108</v>
      </c>
      <c r="B20" s="4" t="s">
        <v>109</v>
      </c>
      <c r="C20" s="4" t="s">
        <v>110</v>
      </c>
      <c r="D20" s="4" t="s">
        <v>111</v>
      </c>
      <c r="E20" s="4"/>
      <c r="F20" s="4" t="s">
        <v>24</v>
      </c>
      <c r="G20" s="4"/>
      <c r="H20" s="4" t="s">
        <v>18</v>
      </c>
      <c r="I20" s="5" t="s">
        <v>25</v>
      </c>
      <c r="J20" s="4" t="s">
        <v>112</v>
      </c>
      <c r="K20" s="4" t="s">
        <v>113</v>
      </c>
      <c r="L20" s="4" t="s">
        <v>114</v>
      </c>
    </row>
    <row r="21" customFormat="false" ht="225.35" hidden="false" customHeight="false" outlineLevel="0" collapsed="false">
      <c r="A21" s="3" t="s">
        <v>115</v>
      </c>
      <c r="B21" s="4" t="s">
        <v>116</v>
      </c>
      <c r="C21" s="4" t="s">
        <v>117</v>
      </c>
      <c r="D21" s="4" t="s">
        <v>118</v>
      </c>
      <c r="E21" s="4"/>
      <c r="F21" s="4" t="s">
        <v>24</v>
      </c>
      <c r="G21" s="4"/>
      <c r="H21" s="4" t="s">
        <v>18</v>
      </c>
      <c r="I21" s="5" t="s">
        <v>25</v>
      </c>
      <c r="J21" s="4" t="s">
        <v>62</v>
      </c>
      <c r="K21" s="4" t="s">
        <v>119</v>
      </c>
      <c r="L21" s="4" t="s">
        <v>120</v>
      </c>
    </row>
    <row r="22" customFormat="false" ht="191.75" hidden="false" customHeight="false" outlineLevel="0" collapsed="false">
      <c r="A22" s="3" t="s">
        <v>121</v>
      </c>
      <c r="B22" s="4" t="s">
        <v>122</v>
      </c>
      <c r="C22" s="4" t="s">
        <v>123</v>
      </c>
      <c r="D22" s="4" t="s">
        <v>124</v>
      </c>
      <c r="E22" s="4"/>
      <c r="F22" s="4" t="s">
        <v>68</v>
      </c>
      <c r="G22" s="4"/>
      <c r="H22" s="4" t="s">
        <v>18</v>
      </c>
      <c r="I22" s="5" t="s">
        <v>25</v>
      </c>
      <c r="J22" s="4" t="s">
        <v>38</v>
      </c>
      <c r="K22" s="4"/>
      <c r="L22" s="4"/>
    </row>
    <row r="23" customFormat="false" ht="102.2" hidden="false" customHeight="false" outlineLevel="0" collapsed="false">
      <c r="A23" s="3" t="s">
        <v>125</v>
      </c>
      <c r="B23" s="4" t="s">
        <v>126</v>
      </c>
      <c r="C23" s="4" t="s">
        <v>127</v>
      </c>
      <c r="D23" s="4" t="s">
        <v>128</v>
      </c>
      <c r="E23" s="4"/>
      <c r="F23" s="4" t="s">
        <v>24</v>
      </c>
      <c r="G23" s="4"/>
      <c r="H23" s="4" t="s">
        <v>129</v>
      </c>
      <c r="I23" s="4" t="s">
        <v>19</v>
      </c>
      <c r="J23" s="4"/>
      <c r="K23" s="4"/>
      <c r="L23" s="4" t="s">
        <v>130</v>
      </c>
    </row>
    <row r="24" customFormat="false" ht="180.55" hidden="false" customHeight="false" outlineLevel="0" collapsed="false">
      <c r="A24" s="3" t="s">
        <v>131</v>
      </c>
      <c r="B24" s="4" t="s">
        <v>132</v>
      </c>
      <c r="C24" s="4" t="s">
        <v>133</v>
      </c>
      <c r="D24" s="4" t="s">
        <v>134</v>
      </c>
      <c r="E24" s="4"/>
      <c r="F24" s="4" t="s">
        <v>68</v>
      </c>
      <c r="G24" s="4"/>
      <c r="H24" s="4" t="s">
        <v>18</v>
      </c>
      <c r="I24" s="5" t="s">
        <v>25</v>
      </c>
      <c r="J24" s="4" t="s">
        <v>62</v>
      </c>
      <c r="K24" s="4"/>
      <c r="L24" s="4"/>
    </row>
    <row r="25" customFormat="false" ht="202.95" hidden="false" customHeight="false" outlineLevel="0" collapsed="false">
      <c r="A25" s="3" t="s">
        <v>135</v>
      </c>
      <c r="B25" s="4" t="s">
        <v>136</v>
      </c>
      <c r="C25" s="4" t="s">
        <v>137</v>
      </c>
      <c r="D25" s="4" t="s">
        <v>138</v>
      </c>
      <c r="E25" s="4"/>
      <c r="F25" s="4" t="s">
        <v>24</v>
      </c>
      <c r="G25" s="4" t="n">
        <v>5</v>
      </c>
      <c r="H25" s="4" t="s">
        <v>18</v>
      </c>
      <c r="I25" s="6" t="s">
        <v>37</v>
      </c>
      <c r="J25" s="4" t="s">
        <v>139</v>
      </c>
      <c r="K25" s="4" t="s">
        <v>140</v>
      </c>
      <c r="L25" s="4" t="s">
        <v>141</v>
      </c>
    </row>
    <row r="26" customFormat="false" ht="147" hidden="false" customHeight="false" outlineLevel="0" collapsed="false">
      <c r="A26" s="3" t="s">
        <v>142</v>
      </c>
      <c r="B26" s="4" t="s">
        <v>143</v>
      </c>
      <c r="C26" s="4" t="s">
        <v>144</v>
      </c>
      <c r="D26" s="4" t="s">
        <v>145</v>
      </c>
      <c r="E26" s="4"/>
      <c r="F26" s="4" t="s">
        <v>24</v>
      </c>
      <c r="G26" s="4" t="n">
        <v>3</v>
      </c>
      <c r="H26" s="4" t="s">
        <v>18</v>
      </c>
      <c r="I26" s="6" t="s">
        <v>37</v>
      </c>
      <c r="J26" s="4" t="s">
        <v>146</v>
      </c>
      <c r="K26" s="4" t="s">
        <v>147</v>
      </c>
      <c r="L26" s="4" t="s">
        <v>148</v>
      </c>
    </row>
    <row r="27" customFormat="false" ht="124.6" hidden="false" customHeight="false" outlineLevel="0" collapsed="false">
      <c r="A27" s="3" t="s">
        <v>149</v>
      </c>
      <c r="B27" s="4" t="s">
        <v>150</v>
      </c>
      <c r="C27" s="4" t="s">
        <v>151</v>
      </c>
      <c r="D27" s="4" t="s">
        <v>152</v>
      </c>
      <c r="E27" s="4"/>
      <c r="F27" s="4" t="s">
        <v>24</v>
      </c>
      <c r="G27" s="4" t="n">
        <v>5</v>
      </c>
      <c r="H27" s="4" t="s">
        <v>129</v>
      </c>
      <c r="I27" s="6" t="s">
        <v>37</v>
      </c>
      <c r="J27" s="4" t="s">
        <v>62</v>
      </c>
      <c r="K27" s="4"/>
      <c r="L27" s="4" t="s">
        <v>153</v>
      </c>
    </row>
    <row r="28" customFormat="false" ht="158.2" hidden="false" customHeight="false" outlineLevel="0" collapsed="false">
      <c r="A28" s="3" t="s">
        <v>154</v>
      </c>
      <c r="B28" s="4" t="s">
        <v>155</v>
      </c>
      <c r="C28" s="4" t="s">
        <v>156</v>
      </c>
      <c r="D28" s="4" t="s">
        <v>157</v>
      </c>
      <c r="E28" s="4"/>
      <c r="F28" s="4" t="s">
        <v>68</v>
      </c>
      <c r="G28" s="4" t="n">
        <v>5</v>
      </c>
      <c r="H28" s="4" t="s">
        <v>18</v>
      </c>
      <c r="I28" s="6" t="s">
        <v>37</v>
      </c>
      <c r="J28" s="4" t="s">
        <v>62</v>
      </c>
      <c r="K28" s="4" t="s">
        <v>158</v>
      </c>
      <c r="L28" s="4"/>
    </row>
    <row r="29" customFormat="false" ht="57.45" hidden="false" customHeight="false" outlineLevel="0" collapsed="false">
      <c r="A29" s="3" t="s">
        <v>159</v>
      </c>
      <c r="B29" s="4" t="s">
        <v>160</v>
      </c>
      <c r="C29" s="4" t="s">
        <v>161</v>
      </c>
      <c r="D29" s="4" t="s">
        <v>162</v>
      </c>
      <c r="E29" s="4"/>
      <c r="F29" s="4" t="s">
        <v>68</v>
      </c>
      <c r="G29" s="4" t="n">
        <v>3</v>
      </c>
      <c r="H29" s="4" t="s">
        <v>129</v>
      </c>
      <c r="I29" s="6" t="s">
        <v>37</v>
      </c>
      <c r="J29" s="4" t="s">
        <v>62</v>
      </c>
      <c r="K29" s="4"/>
      <c r="L29" s="4"/>
    </row>
    <row r="30" customFormat="false" ht="68.65" hidden="false" customHeight="false" outlineLevel="0" collapsed="false">
      <c r="A30" s="3" t="s">
        <v>163</v>
      </c>
      <c r="B30" s="4" t="s">
        <v>164</v>
      </c>
      <c r="C30" s="4" t="s">
        <v>165</v>
      </c>
      <c r="D30" s="4" t="s">
        <v>166</v>
      </c>
      <c r="E30" s="4"/>
      <c r="F30" s="4" t="s">
        <v>24</v>
      </c>
      <c r="G30" s="4" t="n">
        <v>2</v>
      </c>
      <c r="H30" s="4" t="s">
        <v>18</v>
      </c>
      <c r="I30" s="6" t="s">
        <v>37</v>
      </c>
      <c r="J30" s="4" t="s">
        <v>45</v>
      </c>
      <c r="K30" s="4" t="s">
        <v>167</v>
      </c>
      <c r="L30" s="4" t="s">
        <v>168</v>
      </c>
    </row>
    <row r="31" customFormat="false" ht="113.4" hidden="false" customHeight="false" outlineLevel="0" collapsed="false">
      <c r="A31" s="3" t="s">
        <v>169</v>
      </c>
      <c r="B31" s="4" t="s">
        <v>170</v>
      </c>
      <c r="C31" s="4" t="s">
        <v>171</v>
      </c>
      <c r="D31" s="4" t="s">
        <v>172</v>
      </c>
      <c r="E31" s="4"/>
      <c r="F31" s="4" t="s">
        <v>68</v>
      </c>
      <c r="G31" s="4" t="n">
        <v>3</v>
      </c>
      <c r="H31" s="4" t="s">
        <v>18</v>
      </c>
      <c r="I31" s="6" t="s">
        <v>37</v>
      </c>
      <c r="J31" s="4" t="s">
        <v>62</v>
      </c>
      <c r="K31" s="4" t="s">
        <v>158</v>
      </c>
      <c r="L31" s="4"/>
    </row>
    <row r="32" customFormat="false" ht="191.75" hidden="false" customHeight="false" outlineLevel="0" collapsed="false">
      <c r="A32" s="3" t="s">
        <v>173</v>
      </c>
      <c r="B32" s="4" t="s">
        <v>174</v>
      </c>
      <c r="C32" s="4" t="s">
        <v>175</v>
      </c>
      <c r="D32" s="4" t="s">
        <v>176</v>
      </c>
      <c r="E32" s="4"/>
      <c r="F32" s="4" t="s">
        <v>24</v>
      </c>
      <c r="G32" s="4"/>
      <c r="H32" s="4" t="s">
        <v>18</v>
      </c>
      <c r="I32" s="5" t="s">
        <v>25</v>
      </c>
      <c r="J32" s="4" t="s">
        <v>177</v>
      </c>
      <c r="K32" s="4" t="s">
        <v>178</v>
      </c>
      <c r="L32" s="4" t="s">
        <v>179</v>
      </c>
    </row>
    <row r="33" customFormat="false" ht="15" hidden="false" customHeight="false" outlineLevel="0" collapsed="false">
      <c r="A33" s="2" t="s">
        <v>180</v>
      </c>
      <c r="B33" s="2"/>
      <c r="C33" s="2"/>
      <c r="D33" s="2"/>
      <c r="E33" s="2"/>
      <c r="F33" s="2"/>
      <c r="G33" s="2"/>
      <c r="H33" s="2"/>
      <c r="I33" s="2"/>
      <c r="J33" s="2"/>
      <c r="K33" s="2"/>
      <c r="L33" s="2"/>
    </row>
    <row r="34" customFormat="false" ht="113.4" hidden="false" customHeight="false" outlineLevel="0" collapsed="false">
      <c r="A34" s="3" t="s">
        <v>181</v>
      </c>
      <c r="B34" s="4" t="s">
        <v>182</v>
      </c>
      <c r="C34" s="4" t="s">
        <v>183</v>
      </c>
      <c r="D34" s="4" t="s">
        <v>184</v>
      </c>
      <c r="E34" s="4" t="s">
        <v>55</v>
      </c>
      <c r="F34" s="4" t="s">
        <v>17</v>
      </c>
      <c r="G34" s="4"/>
      <c r="H34" s="4" t="s">
        <v>18</v>
      </c>
      <c r="I34" s="4" t="s">
        <v>185</v>
      </c>
      <c r="J34" s="4"/>
      <c r="K34" s="4" t="s">
        <v>186</v>
      </c>
      <c r="L34" s="4" t="s">
        <v>187</v>
      </c>
    </row>
    <row r="35" customFormat="false" ht="57.45" hidden="false" customHeight="false" outlineLevel="0" collapsed="false">
      <c r="A35" s="3" t="s">
        <v>188</v>
      </c>
      <c r="B35" s="4" t="s">
        <v>189</v>
      </c>
      <c r="C35" s="4" t="s">
        <v>190</v>
      </c>
      <c r="D35" s="4" t="s">
        <v>191</v>
      </c>
      <c r="E35" s="4" t="s">
        <v>55</v>
      </c>
      <c r="F35" s="4" t="s">
        <v>68</v>
      </c>
      <c r="G35" s="4"/>
      <c r="H35" s="4" t="s">
        <v>18</v>
      </c>
      <c r="I35" s="4" t="s">
        <v>185</v>
      </c>
      <c r="J35" s="4"/>
      <c r="K35" s="4" t="s">
        <v>192</v>
      </c>
      <c r="L35" s="4" t="s">
        <v>187</v>
      </c>
    </row>
    <row r="36" customFormat="false" ht="102.2" hidden="false" customHeight="false" outlineLevel="0" collapsed="false">
      <c r="A36" s="3" t="s">
        <v>193</v>
      </c>
      <c r="B36" s="4" t="s">
        <v>194</v>
      </c>
      <c r="C36" s="4" t="s">
        <v>195</v>
      </c>
      <c r="D36" s="4" t="s">
        <v>196</v>
      </c>
      <c r="E36" s="4" t="s">
        <v>55</v>
      </c>
      <c r="F36" s="4" t="s">
        <v>24</v>
      </c>
      <c r="G36" s="4"/>
      <c r="H36" s="4" t="s">
        <v>18</v>
      </c>
      <c r="I36" s="5" t="s">
        <v>25</v>
      </c>
      <c r="J36" s="4"/>
      <c r="K36" s="4" t="s">
        <v>192</v>
      </c>
      <c r="L36" s="4" t="s">
        <v>197</v>
      </c>
    </row>
    <row r="37" customFormat="false" ht="113.4" hidden="false" customHeight="false" outlineLevel="0" collapsed="false">
      <c r="A37" s="3" t="s">
        <v>198</v>
      </c>
      <c r="B37" s="4" t="s">
        <v>199</v>
      </c>
      <c r="C37" s="4" t="s">
        <v>200</v>
      </c>
      <c r="D37" s="4" t="s">
        <v>201</v>
      </c>
      <c r="E37" s="4" t="s">
        <v>55</v>
      </c>
      <c r="F37" s="4" t="s">
        <v>17</v>
      </c>
      <c r="G37" s="4"/>
      <c r="H37" s="4" t="s">
        <v>18</v>
      </c>
      <c r="I37" s="4" t="s">
        <v>185</v>
      </c>
      <c r="J37" s="4"/>
      <c r="K37" s="7" t="s">
        <v>202</v>
      </c>
      <c r="L37" s="4" t="s">
        <v>187</v>
      </c>
    </row>
    <row r="38" customFormat="false" ht="79.85" hidden="false" customHeight="false" outlineLevel="0" collapsed="false">
      <c r="A38" s="3" t="s">
        <v>203</v>
      </c>
      <c r="B38" s="4" t="s">
        <v>204</v>
      </c>
      <c r="C38" s="4" t="s">
        <v>205</v>
      </c>
      <c r="D38" s="4" t="s">
        <v>206</v>
      </c>
      <c r="E38" s="4" t="s">
        <v>55</v>
      </c>
      <c r="F38" s="4" t="s">
        <v>17</v>
      </c>
      <c r="G38" s="4"/>
      <c r="H38" s="4" t="s">
        <v>129</v>
      </c>
      <c r="I38" s="4" t="s">
        <v>185</v>
      </c>
      <c r="J38" s="4"/>
      <c r="K38" s="4"/>
      <c r="L38" s="4"/>
    </row>
    <row r="39" customFormat="false" ht="91" hidden="false" customHeight="false" outlineLevel="0" collapsed="false">
      <c r="A39" s="3" t="s">
        <v>207</v>
      </c>
      <c r="B39" s="4" t="s">
        <v>208</v>
      </c>
      <c r="C39" s="4" t="s">
        <v>209</v>
      </c>
      <c r="D39" s="4" t="s">
        <v>210</v>
      </c>
      <c r="E39" s="4" t="s">
        <v>211</v>
      </c>
      <c r="F39" s="4" t="s">
        <v>17</v>
      </c>
      <c r="G39" s="4"/>
      <c r="H39" s="4" t="s">
        <v>18</v>
      </c>
      <c r="I39" s="4" t="s">
        <v>185</v>
      </c>
      <c r="J39" s="4" t="s">
        <v>56</v>
      </c>
      <c r="K39" s="4"/>
      <c r="L39" s="4"/>
    </row>
    <row r="40" customFormat="false" ht="124.6" hidden="false" customHeight="false" outlineLevel="0" collapsed="false">
      <c r="A40" s="3" t="s">
        <v>212</v>
      </c>
      <c r="B40" s="4" t="s">
        <v>213</v>
      </c>
      <c r="C40" s="4" t="s">
        <v>214</v>
      </c>
      <c r="D40" s="4" t="s">
        <v>215</v>
      </c>
      <c r="E40" s="4" t="s">
        <v>16</v>
      </c>
      <c r="F40" s="4" t="s">
        <v>24</v>
      </c>
      <c r="G40" s="4"/>
      <c r="H40" s="4" t="s">
        <v>18</v>
      </c>
      <c r="I40" s="5" t="s">
        <v>25</v>
      </c>
      <c r="J40" s="4" t="s">
        <v>216</v>
      </c>
      <c r="K40" s="4" t="s">
        <v>217</v>
      </c>
      <c r="L40" s="4" t="s">
        <v>218</v>
      </c>
    </row>
    <row r="41" customFormat="false" ht="113.4" hidden="false" customHeight="false" outlineLevel="0" collapsed="false">
      <c r="A41" s="3" t="s">
        <v>219</v>
      </c>
      <c r="B41" s="4" t="s">
        <v>220</v>
      </c>
      <c r="C41" s="4" t="s">
        <v>221</v>
      </c>
      <c r="D41" s="4" t="s">
        <v>222</v>
      </c>
      <c r="E41" s="4" t="s">
        <v>16</v>
      </c>
      <c r="F41" s="4" t="s">
        <v>24</v>
      </c>
      <c r="G41" s="4"/>
      <c r="H41" s="4" t="s">
        <v>18</v>
      </c>
      <c r="I41" s="5" t="s">
        <v>25</v>
      </c>
      <c r="J41" s="4" t="s">
        <v>26</v>
      </c>
      <c r="K41" s="4" t="s">
        <v>223</v>
      </c>
      <c r="L41" s="4" t="s">
        <v>224</v>
      </c>
    </row>
    <row r="42" customFormat="false" ht="102.2" hidden="false" customHeight="false" outlineLevel="0" collapsed="false">
      <c r="A42" s="3" t="s">
        <v>225</v>
      </c>
      <c r="B42" s="4" t="s">
        <v>226</v>
      </c>
      <c r="C42" s="4" t="s">
        <v>227</v>
      </c>
      <c r="D42" s="4" t="s">
        <v>228</v>
      </c>
      <c r="E42" s="4"/>
      <c r="F42" s="4" t="s">
        <v>24</v>
      </c>
      <c r="G42" s="4" t="n">
        <v>3</v>
      </c>
      <c r="H42" s="4" t="s">
        <v>18</v>
      </c>
      <c r="I42" s="6" t="s">
        <v>37</v>
      </c>
      <c r="J42" s="4" t="s">
        <v>112</v>
      </c>
      <c r="K42" s="4" t="s">
        <v>229</v>
      </c>
      <c r="L42" s="4" t="s">
        <v>230</v>
      </c>
    </row>
    <row r="43" customFormat="false" ht="79.85" hidden="false" customHeight="false" outlineLevel="0" collapsed="false">
      <c r="A43" s="3" t="s">
        <v>231</v>
      </c>
      <c r="B43" s="4" t="s">
        <v>232</v>
      </c>
      <c r="C43" s="4" t="s">
        <v>233</v>
      </c>
      <c r="D43" s="4" t="s">
        <v>234</v>
      </c>
      <c r="E43" s="4"/>
      <c r="F43" s="4" t="s">
        <v>24</v>
      </c>
      <c r="G43" s="4" t="n">
        <v>3</v>
      </c>
      <c r="H43" s="4" t="s">
        <v>18</v>
      </c>
      <c r="I43" s="6" t="s">
        <v>37</v>
      </c>
      <c r="J43" s="4" t="s">
        <v>26</v>
      </c>
      <c r="K43" s="7" t="s">
        <v>202</v>
      </c>
      <c r="L43" s="4" t="s">
        <v>235</v>
      </c>
    </row>
    <row r="44" customFormat="false" ht="57.45" hidden="false" customHeight="false" outlineLevel="0" collapsed="false">
      <c r="A44" s="3" t="s">
        <v>236</v>
      </c>
      <c r="B44" s="4" t="s">
        <v>237</v>
      </c>
      <c r="C44" s="4" t="s">
        <v>238</v>
      </c>
      <c r="D44" s="4" t="s">
        <v>239</v>
      </c>
      <c r="E44" s="4"/>
      <c r="F44" s="4" t="s">
        <v>24</v>
      </c>
      <c r="G44" s="4" t="n">
        <v>2</v>
      </c>
      <c r="H44" s="4" t="s">
        <v>18</v>
      </c>
      <c r="I44" s="6" t="s">
        <v>37</v>
      </c>
      <c r="J44" s="4" t="s">
        <v>26</v>
      </c>
      <c r="K44" s="7" t="s">
        <v>202</v>
      </c>
      <c r="L44" s="4" t="s">
        <v>240</v>
      </c>
    </row>
    <row r="45" customFormat="false" ht="57.45" hidden="false" customHeight="false" outlineLevel="0" collapsed="false">
      <c r="A45" s="3" t="s">
        <v>241</v>
      </c>
      <c r="B45" s="4" t="s">
        <v>242</v>
      </c>
      <c r="C45" s="4" t="s">
        <v>243</v>
      </c>
      <c r="D45" s="4" t="s">
        <v>244</v>
      </c>
      <c r="E45" s="4"/>
      <c r="F45" s="4" t="s">
        <v>24</v>
      </c>
      <c r="G45" s="4" t="n">
        <v>2</v>
      </c>
      <c r="H45" s="4" t="s">
        <v>18</v>
      </c>
      <c r="I45" s="6" t="s">
        <v>37</v>
      </c>
      <c r="J45" s="4" t="s">
        <v>98</v>
      </c>
      <c r="K45" s="4" t="s">
        <v>245</v>
      </c>
      <c r="L45" s="4" t="s">
        <v>246</v>
      </c>
    </row>
    <row r="46" customFormat="false" ht="91" hidden="false" customHeight="false" outlineLevel="0" collapsed="false">
      <c r="A46" s="3" t="s">
        <v>247</v>
      </c>
      <c r="B46" s="4" t="s">
        <v>248</v>
      </c>
      <c r="C46" s="4" t="s">
        <v>249</v>
      </c>
      <c r="D46" s="4" t="s">
        <v>250</v>
      </c>
      <c r="E46" s="4" t="s">
        <v>211</v>
      </c>
      <c r="F46" s="4" t="s">
        <v>17</v>
      </c>
      <c r="G46" s="4"/>
      <c r="H46" s="4" t="s">
        <v>129</v>
      </c>
      <c r="I46" s="8" t="s">
        <v>251</v>
      </c>
      <c r="J46" s="4" t="s">
        <v>26</v>
      </c>
      <c r="K46" s="4"/>
      <c r="L46" s="4" t="s">
        <v>252</v>
      </c>
    </row>
    <row r="47" customFormat="false" ht="79.85" hidden="false" customHeight="false" outlineLevel="0" collapsed="false">
      <c r="A47" s="3" t="s">
        <v>253</v>
      </c>
      <c r="B47" s="4" t="s">
        <v>254</v>
      </c>
      <c r="C47" s="4" t="s">
        <v>255</v>
      </c>
      <c r="D47" s="4" t="s">
        <v>256</v>
      </c>
      <c r="E47" s="4" t="s">
        <v>211</v>
      </c>
      <c r="F47" s="4" t="s">
        <v>17</v>
      </c>
      <c r="G47" s="4"/>
      <c r="H47" s="4" t="s">
        <v>129</v>
      </c>
      <c r="I47" s="4" t="s">
        <v>185</v>
      </c>
      <c r="J47" s="4" t="s">
        <v>56</v>
      </c>
      <c r="K47" s="4"/>
      <c r="L47" s="4" t="s">
        <v>257</v>
      </c>
    </row>
    <row r="48" customFormat="false" ht="79.85" hidden="false" customHeight="false" outlineLevel="0" collapsed="false">
      <c r="A48" s="3" t="s">
        <v>258</v>
      </c>
      <c r="B48" s="4" t="s">
        <v>259</v>
      </c>
      <c r="C48" s="4" t="s">
        <v>260</v>
      </c>
      <c r="D48" s="4" t="s">
        <v>261</v>
      </c>
      <c r="E48" s="4" t="s">
        <v>211</v>
      </c>
      <c r="F48" s="4" t="s">
        <v>17</v>
      </c>
      <c r="G48" s="4"/>
      <c r="H48" s="4" t="s">
        <v>129</v>
      </c>
      <c r="I48" s="4" t="s">
        <v>185</v>
      </c>
      <c r="J48" s="4" t="s">
        <v>56</v>
      </c>
      <c r="K48" s="4"/>
      <c r="L48" s="4" t="s">
        <v>262</v>
      </c>
    </row>
    <row r="49" customFormat="false" ht="102.2" hidden="false" customHeight="false" outlineLevel="0" collapsed="false">
      <c r="A49" s="3" t="s">
        <v>263</v>
      </c>
      <c r="B49" s="4" t="s">
        <v>264</v>
      </c>
      <c r="C49" s="4" t="s">
        <v>265</v>
      </c>
      <c r="D49" s="4" t="s">
        <v>266</v>
      </c>
      <c r="E49" s="4" t="s">
        <v>211</v>
      </c>
      <c r="F49" s="4" t="s">
        <v>17</v>
      </c>
      <c r="G49" s="4"/>
      <c r="H49" s="4" t="s">
        <v>129</v>
      </c>
      <c r="I49" s="4" t="s">
        <v>185</v>
      </c>
      <c r="J49" s="4"/>
      <c r="K49" s="4"/>
      <c r="L49" s="4"/>
    </row>
    <row r="50" customFormat="false" ht="68.65" hidden="false" customHeight="false" outlineLevel="0" collapsed="false">
      <c r="A50" s="3" t="s">
        <v>267</v>
      </c>
      <c r="B50" s="4" t="s">
        <v>268</v>
      </c>
      <c r="C50" s="4" t="s">
        <v>269</v>
      </c>
      <c r="D50" s="4" t="s">
        <v>270</v>
      </c>
      <c r="E50" s="4" t="s">
        <v>16</v>
      </c>
      <c r="F50" s="4" t="s">
        <v>68</v>
      </c>
      <c r="G50" s="4"/>
      <c r="H50" s="4" t="s">
        <v>129</v>
      </c>
      <c r="I50" s="4" t="s">
        <v>185</v>
      </c>
      <c r="J50" s="4"/>
      <c r="K50" s="4" t="s">
        <v>223</v>
      </c>
      <c r="L50" s="4" t="s">
        <v>271</v>
      </c>
    </row>
    <row r="51" customFormat="false" ht="79.85" hidden="false" customHeight="false" outlineLevel="0" collapsed="false">
      <c r="A51" s="3" t="s">
        <v>272</v>
      </c>
      <c r="B51" s="4" t="s">
        <v>273</v>
      </c>
      <c r="C51" s="4" t="s">
        <v>274</v>
      </c>
      <c r="D51" s="4" t="s">
        <v>275</v>
      </c>
      <c r="E51" s="4" t="s">
        <v>16</v>
      </c>
      <c r="F51" s="4" t="s">
        <v>68</v>
      </c>
      <c r="G51" s="4"/>
      <c r="H51" s="4" t="s">
        <v>129</v>
      </c>
      <c r="I51" s="5" t="s">
        <v>25</v>
      </c>
      <c r="J51" s="4"/>
      <c r="K51" s="4"/>
      <c r="L51" s="4" t="s">
        <v>276</v>
      </c>
    </row>
    <row r="52" customFormat="false" ht="79.85" hidden="false" customHeight="false" outlineLevel="0" collapsed="false">
      <c r="A52" s="3" t="s">
        <v>277</v>
      </c>
      <c r="B52" s="4" t="s">
        <v>278</v>
      </c>
      <c r="C52" s="4" t="s">
        <v>279</v>
      </c>
      <c r="D52" s="4" t="s">
        <v>280</v>
      </c>
      <c r="E52" s="4" t="s">
        <v>16</v>
      </c>
      <c r="F52" s="4" t="s">
        <v>68</v>
      </c>
      <c r="G52" s="4"/>
      <c r="H52" s="4" t="s">
        <v>281</v>
      </c>
      <c r="I52" s="9" t="s">
        <v>282</v>
      </c>
      <c r="J52" s="4"/>
      <c r="K52" s="4"/>
      <c r="L52" s="4" t="s">
        <v>283</v>
      </c>
    </row>
    <row r="53" customFormat="false" ht="68.65" hidden="false" customHeight="false" outlineLevel="0" collapsed="false">
      <c r="A53" s="3" t="s">
        <v>284</v>
      </c>
      <c r="B53" s="4" t="s">
        <v>285</v>
      </c>
      <c r="C53" s="4" t="s">
        <v>286</v>
      </c>
      <c r="D53" s="4" t="s">
        <v>287</v>
      </c>
      <c r="E53" s="4" t="s">
        <v>16</v>
      </c>
      <c r="F53" s="4" t="s">
        <v>68</v>
      </c>
      <c r="G53" s="4"/>
      <c r="H53" s="4" t="s">
        <v>288</v>
      </c>
      <c r="I53" s="9" t="s">
        <v>282</v>
      </c>
      <c r="J53" s="4"/>
      <c r="K53" s="4"/>
      <c r="L53" s="4" t="s">
        <v>289</v>
      </c>
    </row>
    <row r="54" customFormat="false" ht="35.05" hidden="false" customHeight="false" outlineLevel="0" collapsed="false">
      <c r="A54" s="3" t="s">
        <v>290</v>
      </c>
      <c r="B54" s="4" t="s">
        <v>291</v>
      </c>
      <c r="C54" s="4" t="s">
        <v>292</v>
      </c>
      <c r="D54" s="4" t="s">
        <v>293</v>
      </c>
      <c r="E54" s="4"/>
      <c r="F54" s="4" t="s">
        <v>68</v>
      </c>
      <c r="G54" s="4"/>
      <c r="H54" s="4" t="s">
        <v>281</v>
      </c>
      <c r="I54" s="6" t="s">
        <v>37</v>
      </c>
      <c r="J54" s="4" t="s">
        <v>56</v>
      </c>
      <c r="K54" s="4"/>
      <c r="L54" s="4" t="s">
        <v>294</v>
      </c>
    </row>
    <row r="55" customFormat="false" ht="15" hidden="false" customHeight="false" outlineLevel="0" collapsed="false">
      <c r="A55" s="2" t="s">
        <v>295</v>
      </c>
      <c r="B55" s="2"/>
      <c r="C55" s="2"/>
      <c r="D55" s="2"/>
      <c r="E55" s="2"/>
      <c r="F55" s="2"/>
      <c r="G55" s="2"/>
      <c r="H55" s="2"/>
      <c r="I55" s="2"/>
      <c r="J55" s="2"/>
      <c r="K55" s="2"/>
      <c r="L55" s="2"/>
    </row>
    <row r="56" customFormat="false" ht="46.25" hidden="false" customHeight="false" outlineLevel="0" collapsed="false">
      <c r="A56" s="3" t="s">
        <v>296</v>
      </c>
      <c r="B56" s="4" t="s">
        <v>297</v>
      </c>
      <c r="C56" s="4" t="s">
        <v>298</v>
      </c>
      <c r="D56" s="4" t="s">
        <v>299</v>
      </c>
      <c r="E56" s="4"/>
      <c r="F56" s="4" t="s">
        <v>68</v>
      </c>
      <c r="G56" s="4" t="n">
        <v>2</v>
      </c>
      <c r="H56" s="4" t="s">
        <v>18</v>
      </c>
      <c r="I56" s="6" t="s">
        <v>37</v>
      </c>
      <c r="J56" s="4" t="s">
        <v>56</v>
      </c>
      <c r="K56" s="4" t="s">
        <v>300</v>
      </c>
      <c r="L56" s="4"/>
    </row>
    <row r="57" customFormat="false" ht="57.45" hidden="false" customHeight="false" outlineLevel="0" collapsed="false">
      <c r="A57" s="3" t="s">
        <v>301</v>
      </c>
      <c r="B57" s="4" t="s">
        <v>302</v>
      </c>
      <c r="C57" s="4" t="s">
        <v>303</v>
      </c>
      <c r="D57" s="4" t="s">
        <v>304</v>
      </c>
      <c r="E57" s="4"/>
      <c r="F57" s="4" t="s">
        <v>68</v>
      </c>
      <c r="G57" s="4" t="n">
        <v>3</v>
      </c>
      <c r="H57" s="4" t="s">
        <v>18</v>
      </c>
      <c r="I57" s="6" t="s">
        <v>37</v>
      </c>
      <c r="J57" s="4" t="s">
        <v>26</v>
      </c>
      <c r="K57" s="4" t="s">
        <v>305</v>
      </c>
      <c r="L57" s="4"/>
    </row>
    <row r="58" customFormat="false" ht="57.45" hidden="false" customHeight="false" outlineLevel="0" collapsed="false">
      <c r="A58" s="3" t="s">
        <v>306</v>
      </c>
      <c r="B58" s="4" t="s">
        <v>307</v>
      </c>
      <c r="C58" s="4" t="s">
        <v>308</v>
      </c>
      <c r="D58" s="4" t="s">
        <v>309</v>
      </c>
      <c r="E58" s="4"/>
      <c r="F58" s="4" t="s">
        <v>68</v>
      </c>
      <c r="G58" s="4" t="n">
        <v>3</v>
      </c>
      <c r="H58" s="4" t="s">
        <v>18</v>
      </c>
      <c r="I58" s="6" t="s">
        <v>37</v>
      </c>
      <c r="J58" s="4" t="s">
        <v>310</v>
      </c>
      <c r="K58" s="7" t="s">
        <v>202</v>
      </c>
      <c r="L58" s="4"/>
    </row>
    <row r="59" customFormat="false" ht="68.65" hidden="false" customHeight="false" outlineLevel="0" collapsed="false">
      <c r="A59" s="3" t="s">
        <v>311</v>
      </c>
      <c r="B59" s="4" t="s">
        <v>312</v>
      </c>
      <c r="C59" s="4" t="s">
        <v>313</v>
      </c>
      <c r="D59" s="4" t="s">
        <v>314</v>
      </c>
      <c r="E59" s="4"/>
      <c r="F59" s="4" t="s">
        <v>68</v>
      </c>
      <c r="G59" s="4" t="n">
        <v>3</v>
      </c>
      <c r="H59" s="4" t="s">
        <v>18</v>
      </c>
      <c r="I59" s="6" t="s">
        <v>37</v>
      </c>
      <c r="J59" s="4" t="s">
        <v>315</v>
      </c>
      <c r="K59" s="4" t="s">
        <v>316</v>
      </c>
      <c r="L59" s="4"/>
    </row>
    <row r="60" customFormat="false" ht="46.25" hidden="false" customHeight="false" outlineLevel="0" collapsed="false">
      <c r="A60" s="3" t="s">
        <v>317</v>
      </c>
      <c r="B60" s="4" t="s">
        <v>318</v>
      </c>
      <c r="C60" s="4" t="s">
        <v>319</v>
      </c>
      <c r="D60" s="4" t="s">
        <v>320</v>
      </c>
      <c r="E60" s="4"/>
      <c r="F60" s="4" t="s">
        <v>68</v>
      </c>
      <c r="G60" s="4" t="n">
        <v>3</v>
      </c>
      <c r="H60" s="4" t="s">
        <v>18</v>
      </c>
      <c r="I60" s="6" t="s">
        <v>37</v>
      </c>
      <c r="J60" s="4" t="s">
        <v>310</v>
      </c>
      <c r="K60" s="7" t="s">
        <v>202</v>
      </c>
      <c r="L60" s="4"/>
    </row>
    <row r="61" customFormat="false" ht="57.45" hidden="false" customHeight="false" outlineLevel="0" collapsed="false">
      <c r="A61" s="3" t="s">
        <v>321</v>
      </c>
      <c r="B61" s="4" t="s">
        <v>322</v>
      </c>
      <c r="C61" s="4" t="s">
        <v>323</v>
      </c>
      <c r="D61" s="4" t="s">
        <v>324</v>
      </c>
      <c r="E61" s="4"/>
      <c r="F61" s="4" t="s">
        <v>68</v>
      </c>
      <c r="G61" s="4" t="n">
        <v>3</v>
      </c>
      <c r="H61" s="4" t="s">
        <v>18</v>
      </c>
      <c r="I61" s="6" t="s">
        <v>37</v>
      </c>
      <c r="J61" s="4" t="s">
        <v>62</v>
      </c>
      <c r="K61" s="4" t="s">
        <v>325</v>
      </c>
      <c r="L61" s="4"/>
    </row>
    <row r="62" customFormat="false" ht="68.65" hidden="false" customHeight="false" outlineLevel="0" collapsed="false">
      <c r="A62" s="3" t="s">
        <v>326</v>
      </c>
      <c r="B62" s="4" t="s">
        <v>327</v>
      </c>
      <c r="C62" s="4" t="s">
        <v>328</v>
      </c>
      <c r="D62" s="4" t="s">
        <v>329</v>
      </c>
      <c r="E62" s="4"/>
      <c r="F62" s="4" t="s">
        <v>68</v>
      </c>
      <c r="G62" s="4" t="n">
        <v>5</v>
      </c>
      <c r="H62" s="4" t="s">
        <v>18</v>
      </c>
      <c r="I62" s="6" t="s">
        <v>37</v>
      </c>
      <c r="J62" s="4" t="s">
        <v>330</v>
      </c>
      <c r="K62" s="4" t="s">
        <v>331</v>
      </c>
      <c r="L62" s="4"/>
    </row>
    <row r="63" customFormat="false" ht="35.05" hidden="false" customHeight="false" outlineLevel="0" collapsed="false">
      <c r="A63" s="3" t="s">
        <v>332</v>
      </c>
      <c r="B63" s="4" t="s">
        <v>333</v>
      </c>
      <c r="C63" s="4" t="s">
        <v>334</v>
      </c>
      <c r="D63" s="4" t="s">
        <v>335</v>
      </c>
      <c r="E63" s="4"/>
      <c r="F63" s="4" t="s">
        <v>68</v>
      </c>
      <c r="G63" s="4" t="n">
        <v>2</v>
      </c>
      <c r="H63" s="4" t="s">
        <v>129</v>
      </c>
      <c r="I63" s="6" t="s">
        <v>37</v>
      </c>
      <c r="J63" s="4" t="s">
        <v>45</v>
      </c>
      <c r="K63" s="4"/>
      <c r="L63" s="4"/>
    </row>
    <row r="64" customFormat="false" ht="35.05" hidden="false" customHeight="false" outlineLevel="0" collapsed="false">
      <c r="A64" s="3" t="s">
        <v>336</v>
      </c>
      <c r="B64" s="4" t="s">
        <v>337</v>
      </c>
      <c r="C64" s="4" t="s">
        <v>338</v>
      </c>
      <c r="D64" s="4" t="s">
        <v>339</v>
      </c>
      <c r="E64" s="4"/>
      <c r="F64" s="4" t="s">
        <v>68</v>
      </c>
      <c r="G64" s="4" t="n">
        <v>2</v>
      </c>
      <c r="H64" s="4" t="s">
        <v>129</v>
      </c>
      <c r="I64" s="6" t="s">
        <v>37</v>
      </c>
      <c r="J64" s="4" t="s">
        <v>26</v>
      </c>
      <c r="K64" s="4"/>
      <c r="L64" s="4"/>
    </row>
    <row r="65" customFormat="false" ht="35.05" hidden="false" customHeight="false" outlineLevel="0" collapsed="false">
      <c r="A65" s="3" t="s">
        <v>340</v>
      </c>
      <c r="B65" s="4" t="s">
        <v>341</v>
      </c>
      <c r="C65" s="4" t="s">
        <v>342</v>
      </c>
      <c r="D65" s="4" t="s">
        <v>343</v>
      </c>
      <c r="E65" s="4"/>
      <c r="F65" s="4" t="s">
        <v>68</v>
      </c>
      <c r="G65" s="4" t="n">
        <v>3</v>
      </c>
      <c r="H65" s="4" t="s">
        <v>281</v>
      </c>
      <c r="I65" s="6" t="s">
        <v>37</v>
      </c>
      <c r="J65" s="4" t="s">
        <v>26</v>
      </c>
      <c r="K65" s="4" t="s">
        <v>344</v>
      </c>
      <c r="L65" s="4"/>
    </row>
    <row r="66" customFormat="false" ht="35.05" hidden="false" customHeight="false" outlineLevel="0" collapsed="false">
      <c r="A66" s="3" t="s">
        <v>345</v>
      </c>
      <c r="B66" s="4" t="s">
        <v>346</v>
      </c>
      <c r="C66" s="4" t="s">
        <v>347</v>
      </c>
      <c r="D66" s="4" t="s">
        <v>348</v>
      </c>
      <c r="E66" s="4"/>
      <c r="F66" s="4" t="s">
        <v>68</v>
      </c>
      <c r="G66" s="4"/>
      <c r="H66" s="4" t="s">
        <v>281</v>
      </c>
      <c r="I66" s="6" t="s">
        <v>37</v>
      </c>
      <c r="J66" s="4"/>
      <c r="K66" s="4"/>
      <c r="L66" s="4" t="s">
        <v>294</v>
      </c>
    </row>
    <row r="67" customFormat="false" ht="23.85" hidden="false" customHeight="false" outlineLevel="0" collapsed="false">
      <c r="A67" s="3" t="s">
        <v>349</v>
      </c>
      <c r="B67" s="4" t="s">
        <v>350</v>
      </c>
      <c r="C67" s="4" t="s">
        <v>351</v>
      </c>
      <c r="D67" s="4" t="s">
        <v>348</v>
      </c>
      <c r="E67" s="4"/>
      <c r="F67" s="4" t="s">
        <v>68</v>
      </c>
      <c r="G67" s="4"/>
      <c r="H67" s="4" t="s">
        <v>281</v>
      </c>
      <c r="I67" s="6" t="s">
        <v>37</v>
      </c>
      <c r="J67" s="4"/>
      <c r="K67" s="4"/>
      <c r="L67" s="4" t="s">
        <v>294</v>
      </c>
    </row>
    <row r="68" customFormat="false" ht="23.85" hidden="false" customHeight="false" outlineLevel="0" collapsed="false">
      <c r="A68" s="3" t="s">
        <v>352</v>
      </c>
      <c r="B68" s="4" t="s">
        <v>353</v>
      </c>
      <c r="C68" s="4" t="s">
        <v>354</v>
      </c>
      <c r="D68" s="4" t="s">
        <v>348</v>
      </c>
      <c r="E68" s="4"/>
      <c r="F68" s="4" t="s">
        <v>68</v>
      </c>
      <c r="G68" s="4"/>
      <c r="H68" s="4" t="s">
        <v>281</v>
      </c>
      <c r="I68" s="6" t="s">
        <v>37</v>
      </c>
      <c r="J68" s="4"/>
      <c r="K68" s="4"/>
      <c r="L68" s="4" t="s">
        <v>294</v>
      </c>
    </row>
  </sheetData>
  <autoFilter ref="A1:L68"/>
  <dataValidations count="3">
    <dataValidation allowBlank="true" errorStyle="stop" operator="between" showDropDown="false" showErrorMessage="false" showInputMessage="false" sqref="F2:F68" type="list">
      <formula1>"Yes,No,Built - check"</formula1>
      <formula2>0</formula2>
    </dataValidation>
    <dataValidation allowBlank="true" errorStyle="stop" operator="between" showDropDown="false" showErrorMessage="false" showInputMessage="false" sqref="H2:H68" type="list">
      <formula1>"Must,Should,Could,Won't (this round)"</formula1>
      <formula2>0</formula2>
    </dataValidation>
    <dataValidation allowBlank="true" errorStyle="stop" operator="between" showDropDown="false" showErrorMessage="false" showInputMessage="false" sqref="I2:I68" type="list">
      <formula1>"New,Updated,Moved,Merged,Unchanged,Deprioritised"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20"/>
  </cols>
  <sheetData>
    <row r="1" customFormat="false" ht="17.35" hidden="false" customHeight="false" outlineLevel="0" collapsed="false">
      <c r="A1" s="10" t="s">
        <v>355</v>
      </c>
    </row>
    <row r="2" customFormat="false" ht="15" hidden="false" customHeight="false" outlineLevel="0" collapsed="false">
      <c r="A2" s="11" t="s">
        <v>356</v>
      </c>
    </row>
    <row r="4" customFormat="false" ht="15" hidden="false" customHeight="false" outlineLevel="0" collapsed="false">
      <c r="A4" s="12" t="s">
        <v>7</v>
      </c>
      <c r="B4" s="12" t="s">
        <v>357</v>
      </c>
      <c r="C4" s="12" t="s">
        <v>358</v>
      </c>
      <c r="D4" s="12" t="s">
        <v>359</v>
      </c>
    </row>
    <row r="5" customFormat="false" ht="15" hidden="false" customHeight="false" outlineLevel="0" collapsed="false">
      <c r="A5" s="13" t="s">
        <v>18</v>
      </c>
      <c r="B5" s="13" t="n">
        <f aca="false">COUNTIF('Product Backlog'!$H$2:$H$68,A5)</f>
        <v>45</v>
      </c>
      <c r="C5" s="13" t="n">
        <f aca="false">COUNTIFS('Product Backlog'!$H$2:$H$68,A5,'Product Backlog'!$F$2:$F$68,"No")</f>
        <v>15</v>
      </c>
      <c r="D5" s="13" t="n">
        <f aca="false">SUMIFS('Product Backlog'!$G$2:$G$68,'Product Backlog'!$H$2:$H$68,A5,'Product Backlog'!$F$2:$F$68,"No")</f>
        <v>36</v>
      </c>
    </row>
    <row r="6" customFormat="false" ht="15" hidden="false" customHeight="false" outlineLevel="0" collapsed="false">
      <c r="A6" s="13" t="s">
        <v>129</v>
      </c>
      <c r="B6" s="13" t="n">
        <f aca="false">COUNTIF('Product Backlog'!$H$2:$H$68,A6)</f>
        <v>12</v>
      </c>
      <c r="C6" s="13" t="n">
        <f aca="false">COUNTIFS('Product Backlog'!$H$2:$H$68,A6,'Product Backlog'!$F$2:$F$68,"No")</f>
        <v>5</v>
      </c>
      <c r="D6" s="13" t="n">
        <f aca="false">SUMIFS('Product Backlog'!$G$2:$G$68,'Product Backlog'!$H$2:$H$68,A6,'Product Backlog'!$F$2:$F$68,"No")</f>
        <v>7</v>
      </c>
    </row>
    <row r="7" customFormat="false" ht="15" hidden="false" customHeight="false" outlineLevel="0" collapsed="false">
      <c r="A7" s="13" t="s">
        <v>281</v>
      </c>
      <c r="B7" s="13" t="n">
        <f aca="false">COUNTIF('Product Backlog'!$H$2:$H$68,A7)</f>
        <v>6</v>
      </c>
      <c r="C7" s="13" t="n">
        <f aca="false">COUNTIFS('Product Backlog'!$H$2:$H$68,A7,'Product Backlog'!$F$2:$F$68,"No")</f>
        <v>6</v>
      </c>
      <c r="D7" s="13" t="n">
        <f aca="false">SUMIFS('Product Backlog'!$G$2:$G$68,'Product Backlog'!$H$2:$H$68,A7,'Product Backlog'!$F$2:$F$68,"No")</f>
        <v>3</v>
      </c>
    </row>
    <row r="8" customFormat="false" ht="15" hidden="false" customHeight="false" outlineLevel="0" collapsed="false">
      <c r="A8" s="13" t="s">
        <v>288</v>
      </c>
      <c r="B8" s="13" t="n">
        <f aca="false">COUNTIF('Product Backlog'!$H$2:$H$68,A8)</f>
        <v>1</v>
      </c>
      <c r="C8" s="13" t="n">
        <f aca="false">COUNTIFS('Product Backlog'!$H$2:$H$68,A8,'Product Backlog'!$F$2:$F$68,"No")</f>
        <v>1</v>
      </c>
      <c r="D8" s="13" t="n">
        <f aca="false">SUMIFS('Product Backlog'!$G$2:$G$68,'Product Backlog'!$H$2:$H$68,A8,'Product Backlog'!$F$2:$F$68,"No")</f>
        <v>0</v>
      </c>
    </row>
    <row r="9" customFormat="false" ht="15" hidden="false" customHeight="false" outlineLevel="0" collapsed="false">
      <c r="A9" s="12" t="s">
        <v>360</v>
      </c>
      <c r="B9" s="12" t="n">
        <f aca="false">SUM(B5:B8)</f>
        <v>64</v>
      </c>
      <c r="C9" s="12" t="n">
        <f aca="false">SUM(C5:C8)</f>
        <v>27</v>
      </c>
      <c r="D9" s="12" t="n">
        <f aca="false">SUM(D5:D8)</f>
        <v>46</v>
      </c>
    </row>
    <row r="11" customFormat="false" ht="15" hidden="false" customHeight="false" outlineLevel="0" collapsed="false">
      <c r="A11" s="12" t="s">
        <v>361</v>
      </c>
      <c r="B11" s="12" t="s">
        <v>357</v>
      </c>
    </row>
    <row r="12" customFormat="false" ht="15" hidden="false" customHeight="false" outlineLevel="0" collapsed="false">
      <c r="A12" s="13" t="s">
        <v>37</v>
      </c>
      <c r="B12" s="13" t="n">
        <f aca="false">COUNTIF('Product Backlog'!$I$2:$I$68,A12)</f>
        <v>28</v>
      </c>
    </row>
    <row r="13" customFormat="false" ht="15" hidden="false" customHeight="false" outlineLevel="0" collapsed="false">
      <c r="A13" s="13" t="s">
        <v>25</v>
      </c>
      <c r="B13" s="13" t="n">
        <f aca="false">COUNTIF('Product Backlog'!$I$2:$I$68,A13)</f>
        <v>12</v>
      </c>
    </row>
    <row r="14" customFormat="false" ht="15" hidden="false" customHeight="false" outlineLevel="0" collapsed="false">
      <c r="A14" s="13" t="s">
        <v>185</v>
      </c>
      <c r="B14" s="13" t="n">
        <f aca="false">COUNTIF('Product Backlog'!$I$2:$I$68,A14)</f>
        <v>9</v>
      </c>
    </row>
    <row r="15" customFormat="false" ht="15" hidden="false" customHeight="false" outlineLevel="0" collapsed="false">
      <c r="A15" s="13" t="s">
        <v>251</v>
      </c>
      <c r="B15" s="13" t="n">
        <f aca="false">COUNTIF('Product Backlog'!$I$2:$I$68,A15)</f>
        <v>1</v>
      </c>
    </row>
    <row r="16" customFormat="false" ht="15" hidden="false" customHeight="false" outlineLevel="0" collapsed="false">
      <c r="A16" s="13" t="s">
        <v>19</v>
      </c>
      <c r="B16" s="13" t="n">
        <f aca="false">COUNTIF('Product Backlog'!$I$2:$I$68,A16)</f>
        <v>12</v>
      </c>
    </row>
    <row r="17" customFormat="false" ht="15" hidden="false" customHeight="false" outlineLevel="0" collapsed="false">
      <c r="A17" s="13" t="s">
        <v>282</v>
      </c>
      <c r="B17" s="13" t="n">
        <f aca="false">COUNTIF('Product Backlog'!$I$2:$I$68,A17)</f>
        <v>2</v>
      </c>
    </row>
    <row r="19" customFormat="false" ht="15" hidden="false" customHeight="false" outlineLevel="0" collapsed="false">
      <c r="A19" s="11"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4" t="s">
        <v>363</v>
      </c>
    </row>
    <row r="3" customFormat="false" ht="26.85" hidden="false" customHeight="false" outlineLevel="0" collapsed="false">
      <c r="A3" s="15" t="s">
        <v>364</v>
      </c>
    </row>
    <row r="5" customFormat="false" ht="26.85" hidden="false" customHeight="false" outlineLevel="0" collapsed="false">
      <c r="A5" s="15" t="s">
        <v>365</v>
      </c>
    </row>
    <row r="7" customFormat="false" ht="26.85" hidden="false" customHeight="false" outlineLevel="0" collapsed="false">
      <c r="A7" s="15" t="s">
        <v>366</v>
      </c>
    </row>
    <row r="9" customFormat="false" ht="26.85" hidden="false" customHeight="false" outlineLevel="0" collapsed="false">
      <c r="A9" s="15" t="s">
        <v>367</v>
      </c>
    </row>
    <row r="11" customFormat="false" ht="15" hidden="false" customHeight="false" outlineLevel="0" collapsed="false">
      <c r="A11" s="15"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2026-10-28T11:34:36Z</dcterms:created>
  <dc:creator>openpyxl</dc:creator>
  <dc:description/>
  <dc:language>en-US</dc:language>
  <cp:lastModifiedBy/>
  <dcterms:modified xsi:type="dcterms:W3CDTF">2026-10-28T11:34:36Z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