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Summary" sheetId="2" state="visible" r:id="rId4"/>
    <sheet name="How to read" sheetId="3" state="visible" r:id="rId5"/>
  </sheets>
  <definedNames>
    <definedName function="false" hidden="true" localSheetId="0" name="_xlnm._FilterDatabase" vbProcedure="false">'Product Backlog'!$A$1:$L$70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<sst xmlns="http://schemas.openxmlformats.org/spreadsheetml/2006/main" count="660" uniqueCount="402">
  <si>
    <t xml:space="preserve">ID</t>
  </si>
  <si>
    <t xml:space="preserve">Title</t>
  </si>
  <si>
    <t xml:space="preserve">Description</t>
  </si>
  <si>
    <t xml:space="preserve">Acceptance Criteria (most important)
- limitations, details of the information, etc</t>
  </si>
  <si>
    <t xml:space="preserve">Assigned To</t>
  </si>
  <si>
    <t xml:space="preserve">Completed?</t>
  </si>
  <si>
    <t xml:space="preserve">User Story Points</t>
  </si>
  <si>
    <t xml:space="preserve">Priority</t>
  </si>
  <si>
    <t xml:space="preserve">Change</t>
  </si>
  <si>
    <t xml:space="preserve">UBS feedback</t>
  </si>
  <si>
    <t xml:space="preserve">Test cases</t>
  </si>
  <si>
    <t xml:space="preserve">Notes</t>
  </si>
  <si>
    <t xml:space="preserve">Foundation</t>
  </si>
  <si>
    <t xml:space="preserve">F1</t>
  </si>
  <si>
    <t xml:space="preserve">System Architecture Design</t>
  </si>
  <si>
    <t xml:space="preserve">Design the AI agents and other services needed to fulfil the user stories.</t>
  </si>
  <si>
    <t xml:space="preserve">Denise</t>
  </si>
  <si>
    <t xml:space="preserve">Yes</t>
  </si>
  <si>
    <t xml:space="preserve">Must</t>
  </si>
  <si>
    <t xml:space="preserve">Unchanged</t>
  </si>
  <si>
    <t xml:space="preserve">Was F0</t>
  </si>
  <si>
    <t xml:space="preserve">F2</t>
  </si>
  <si>
    <t xml:space="preserve">Data contracts</t>
  </si>
  <si>
    <t xml:space="preserve">Shared Pydantic models every module passes to each other.</t>
  </si>
  <si>
    <t xml:space="preserve">- RequestContext, RiskAssessment, TaskPlan, AgentResult, ActionCommand, Receipt and AuditEvent exist in backend/app/schemas/
- Every field in the agreed data contracts is present and typed; enums use Literal types
- AgentResult.status includes needs_clarification with a question field
- SSE event models cover status, answer (with sections[]), action_required, done and error
- Unit tests build one valid and one invalid example of each model
- Merged in one PR, approved by all developers
- Ticket, TicketSummary, RequestCategory, MeetingNote and Brief models exist
- RequestContext carries role: guest, customer or rm</t>
  </si>
  <si>
    <t xml:space="preserve">Built - check</t>
  </si>
  <si>
    <t xml:space="preserve">Updated</t>
  </si>
  <si>
    <t xml:space="preserve">#5</t>
  </si>
  <si>
    <t xml:space="preserve">Built 28 Oct: Ticket/category models in app/schemas/tickets.py (not in contracts.py, so no all-dev PR needed) | Was F1</t>
  </si>
  <si>
    <t xml:space="preserve">F3</t>
  </si>
  <si>
    <t xml:space="preserve">Operational database and synthetic seed</t>
  </si>
  <si>
    <t xml:space="preserve">Business tables with RLS, plus fake data for Alex, Michelle and David.</t>
  </si>
  <si>
    <t xml:space="preserve">- Schemas banking, compliance, rm, consent, conversation, actions, support, notify and events migrate cleanly on the hosted project
- RLS is enabled on every customer table; a signed-in customer reads only their own rows
- Seed includes Alex's card ending 4821, the $2,400 charge and the pending landlord transfer
- Seed includes Michelle's compliance case, requested documents and deadline
- Seed includes David's old and new RM, advisor working hours and an open request
- Synthetic data only; no service-role key in the app or browser
- Migration numbering rule is written in the README</t>
  </si>
  <si>
    <t xml:space="preserve">New persona data goes in F4, so this story stays closed | Was F2</t>
  </si>
  <si>
    <t xml:space="preserve">F4</t>
  </si>
  <si>
    <t xml:space="preserve">RM, ticket and meeting-note seed data</t>
  </si>
  <si>
    <t xml:space="preserve">Synthetic data for the new personas: Sophie (RM), her book of clients, tickets and past meeting notes.</t>
  </si>
  <si>
    <t xml:space="preserve">- Sophie has an RM account with role rm and a book of clients: Michelle, David and at least 2 more synthetic clients
- At least one client (e.g. Alex) belongs to another RM, for access tests
- David is an inherited client: previous RM Rachel, 2–3 past meeting notes written by Rachel, one open request and a consent-shared handover note
- Michelle has her compliance case plus a card, a suspicious charge and a pending payment (reuse Alex's seed rows)
- 8–10 open tickets across Sophie's book with mixed categories and urgency, including one P0 suspected fraud and one breaching its target time
- Synthetic data only; RLS tests pass for Sophie, Michelle and David</t>
  </si>
  <si>
    <t xml:space="preserve">New</t>
  </si>
  <si>
    <t xml:space="preserve">#3</t>
  </si>
  <si>
    <t xml:space="preserve">Data for all R cases</t>
  </si>
  <si>
    <t xml:space="preserve">Built 28 Oct: Partly: Michelle card 7310 + demo tickets; RM/Sophie seed still open | Open: no Sophie login or RM book yet | Was F2b</t>
  </si>
  <si>
    <t xml:space="preserve">F5</t>
  </si>
  <si>
    <t xml:space="preserve">Audit Log Service</t>
  </si>
  <si>
    <t xml:space="preserve">Append-only, tamper-evident record of who did what.</t>
  </si>
  <si>
    <t xml:space="preserve">- audit.events can only be written through audit.record() (SECURITY DEFINER)
- UPDATE, DELETE and TRUNCATE are revoked from all app roles
- Each row stores prev_hash and hash; editing a row breaks the chain and a check script detects it
- A generic trigger records insert/update/delete on audited business tables
- State changes write their audit row in the same transaction
- A failed audit write fails the request
- Events hold ids, enums and counts only, never user text or customer records</t>
  </si>
  <si>
    <t xml:space="preserve">#7</t>
  </si>
  <si>
    <t xml:space="preserve">Reused for the audit trail walkthrough (F28) | Was F3</t>
  </si>
  <si>
    <t xml:space="preserve">F6</t>
  </si>
  <si>
    <t xml:space="preserve">API Gateway Layer</t>
  </si>
  <si>
    <t xml:space="preserve">Entry point that checks who is calling and builds the RequestContext.</t>
  </si>
  <si>
    <t xml:space="preserve">- JWT is verified with cached JWKS; invalid or expired tokens get 401
- customer_id comes only from the JWT, never from the request body
- Guests get a guest principal with no customer_id
- Rate limit and payload size limit return stable error codes
- auth.session_started is recorded the first time a session_id is seen
- POST /auth/session-end records auth.session_ended
- Every request has a request_id passed to all modules</t>
  </si>
  <si>
    <t xml:space="preserve">Was F4</t>
  </si>
  <si>
    <t xml:space="preserve">F7</t>
  </si>
  <si>
    <t xml:space="preserve">Input Guardrail</t>
  </si>
  <si>
    <t xml:space="preserve">Rule-based check of every message before any AI runs.</t>
  </si>
  <si>
    <t xml:space="preserve">- Returns a RiskAssessment for every message
- Never calls the LLM
- Card numbers, passwords, OTPs and NRIC are redacted and counted
- Lost card, shared secrets and human-support requests return fixed responses
- Guest asking about 'my balance' gets the log-in fixed response
- Fraud wording sets fraud_suspected and priority P0
- Shared privacy fixtures pass in backend and frontend; ordinary password-reset questions are unchanged
- Never asks for PIN, password, OTP, CVV or full card number; if the customer types one, warns them and never repeats it back (from X2)</t>
  </si>
  <si>
    <t xml:space="preserve">Deshaun</t>
  </si>
  <si>
    <t xml:space="preserve">#1</t>
  </si>
  <si>
    <t xml:space="preserve">C02, C06</t>
  </si>
  <si>
    <t xml:space="preserve">Was F5</t>
  </si>
  <si>
    <t xml:space="preserve">F8</t>
  </si>
  <si>
    <t xml:space="preserve">LLM Gateway</t>
  </si>
  <si>
    <t xml:space="preserve">One model client for the planner and all agents.</t>
  </si>
  <si>
    <t xml:space="preserve">- Planner and agents all call the model through this client
- Prompts load by agent and version from prompts/&lt;agent&gt;/vN
- Output is parsed against a strict JSON schema
- Timeouts, limited retries and a per-request token budget are enforced
- Errors are reported, never replaced with a sample answer
- Model, tokens and latency are recorded per call with a trace span
- Released prompt versions are never edited; each new version has a prompt-log entry</t>
  </si>
  <si>
    <t xml:space="preserve">#6</t>
  </si>
  <si>
    <t xml:space="preserve">Trace spans also sent to LangSmith in F26 | Was F6</t>
  </si>
  <si>
    <t xml:space="preserve">F9</t>
  </si>
  <si>
    <t xml:space="preserve">Conversation Store</t>
  </si>
  <si>
    <t xml:space="preserve">Saves chats so follow-ups and returning customers keep context.</t>
  </si>
  <si>
    <t xml:space="preserve">- Each turn is saved with redacted text only
- A follow-up in the same chat sees the earlier turns
- A signed-in customer can list and reopen only their own chats (RLS)
- Cases group the tasks from one conversation
- LangGraph checkpoints are stored here
- Guest sessions expire
- Follow-ups such as 'what about the other one?' resolve to the right topic, and topics are kept separate
- A signed-in customer can resume from where they left off in their last chat (from X1)
- A record of what the client was told (bot statements and uploads, with dates) can be read by their RM through the Customer Data Service, subject to authorisation (for RM8)</t>
  </si>
  <si>
    <t xml:space="preserve">No</t>
  </si>
  <si>
    <t xml:space="preserve">Was F7</t>
  </si>
  <si>
    <t xml:space="preserve">F10</t>
  </si>
  <si>
    <t xml:space="preserve">Knowledge Service</t>
  </si>
  <si>
    <t xml:space="preserve">Moves the article library into Supabase with full-text search.</t>
  </si>
  <si>
    <t xml:space="preserve">- kb.articles, kb.sections and kb.facts exist with read-only RLS
- kb.search() returns ranked sections cited as article_id@vN#anchor
- Unrelated questions return no sections
- get_fact() returns exact fees, limits and rates
- knowledge.py reads from Supabase; today's answers still pass the offline evaluation
- External articles have reference_url, checked_on, review_due and an allowed domain
- Policy articles exist for every request category in F24 (e.g. card limit: documents needed, who decides, typical turnaround)</t>
  </si>
  <si>
    <t xml:space="preserve">#4</t>
  </si>
  <si>
    <t xml:space="preserve">Built 28 Oct: card-limit-change article (memory + migration 0071) | Was F8</t>
  </si>
  <si>
    <t xml:space="preserve">F11</t>
  </si>
  <si>
    <t xml:space="preserve">Authorisation &amp; Consent Service</t>
  </si>
  <si>
    <t xml:space="preserve">One place that decides whether a read or action is allowed.</t>
  </si>
  <si>
    <t xml:space="preserve">- decide() returns allow, reasons and obligations (mask, require confirmation, require consent)
- Guests are denied all personal data
- An agent calling a tool outside its allow-list is denied
- card.unblock requires step-up (aal2)
- Auto vs confirm action types are listed in the policy rules
- has_consent() respects expiry and revocation
- Every decision writes a policy.decision audit event</t>
  </si>
  <si>
    <t xml:space="preserve">C06</t>
  </si>
  <si>
    <t xml:space="preserve">Was F9</t>
  </si>
  <si>
    <t xml:space="preserve">F12</t>
  </si>
  <si>
    <t xml:space="preserve">RM role and book-based access</t>
  </si>
  <si>
    <t xml:space="preserve">Authorisation rules for staff users, so an RM sees only her own clients.</t>
  </si>
  <si>
    <t xml:space="preserve">- RM principal comes from JWT claims (role = rm, rm_id); never from the request body
- An RM can read only clients in her book; any other client is denied and audited
- An RM sees the client's handover note only with an active consent grant
- An RM cannot run client-side actions (e.g. card block) or change ticket status through the bot
- Every decision writes a policy.decision audit event</t>
  </si>
  <si>
    <t xml:space="preserve">#1, #7</t>
  </si>
  <si>
    <t xml:space="preserve">R05, R06</t>
  </si>
  <si>
    <t xml:space="preserve">Was F9b</t>
  </si>
  <si>
    <t xml:space="preserve">F13</t>
  </si>
  <si>
    <t xml:space="preserve">Customer Data Service</t>
  </si>
  <si>
    <t xml:space="preserve">The only way agents read customer records.</t>
  </si>
  <si>
    <t xml:space="preserve">- Functions exist for profile, accounts, transactions, credit cards, loans, compliance case, RM assignment, requests and free slots
- Every query filters by customer_id in code and runs with the user JWT so RLS applies
- Card numbers show last 4 only; account numbers and NRIC are masked
- Every call asks decide() first
- Every result returns a call_id the validator can check figures against
- Every call writes a data.read audit event
- No service-role key is used</t>
  </si>
  <si>
    <t xml:space="preserve">Was F10</t>
  </si>
  <si>
    <t xml:space="preserve">F14</t>
  </si>
  <si>
    <t xml:space="preserve">RM data functions</t>
  </si>
  <si>
    <t xml:space="preserve">Read functions the RM Assistant uses.</t>
  </si>
  <si>
    <t xml:space="preserve">- Functions exist for: list my book, client profile summary, open tickets, ticket history, meeting notes, review status, what the client was told
- Every call asks decide() first and writes a data.read audit event
- Every result returns a call_id the validator can check facts against
- Masking rules from F13 apply</t>
  </si>
  <si>
    <t xml:space="preserve">Was F10b</t>
  </si>
  <si>
    <t xml:space="preserve">F15</t>
  </si>
  <si>
    <t xml:space="preserve">Action Service core</t>
  </si>
  <si>
    <t xml:space="preserve">run_action(): the single path for every change.</t>
  </si>
  <si>
    <t xml:space="preserve">- Confirm-type actions stop as proposed and send action_required
- Proposed commands expire after 5 minutes; an expired confirm executes nothing
- A repeated request or confirm returns the same receipt
- Policy is re-checked at confirm time
- Change, outbox row and audit event commit in one transaction
- Every executed action returns a receipt
- The model can never choose or call an executor directly
- POST /commands/{id}/confirm works</t>
  </si>
  <si>
    <t xml:space="preserve">#2</t>
  </si>
  <si>
    <t xml:space="preserve">Was F11</t>
  </si>
  <si>
    <t xml:space="preserve">F16</t>
  </si>
  <si>
    <t xml:space="preserve">Card and handoff executors</t>
  </si>
  <si>
    <t xml:space="preserve">Card blocking and passing a case to a person.</t>
  </si>
  <si>
    <t xml:space="preserve">- Card block runs only after the customer confirms
- Allowed transitions are active → temporarily_blocked → active / cancelled; others are rejected
- Unblock and permanent cancel are staff-only
- Handoff includes a redacted case summary
- Only one open handoff per case and reason
- Handoff queue orders P0 first, then age
- RLS tests pass</t>
  </si>
  <si>
    <t xml:space="preserve">Handoffs will create a ticket through F23 | Was F12</t>
  </si>
  <si>
    <t xml:space="preserve">F17</t>
  </si>
  <si>
    <t xml:space="preserve">Appointment and records executors</t>
  </si>
  <si>
    <t xml:space="preserve">Bookings, consent and record updates.</t>
  </si>
  <si>
    <t xml:space="preserve">- A slot hold lasts 10 minutes
- Two bookings on the same slot cannot both succeed (exclusion constraint)
- Booking is confirmed only after the customer confirms
- Sharing a summary or agenda fails without an active consent grant
- Consent grants and revocations are written only here, each with a receipt
- Checklist update, agenda save and consent request run without confirmation</t>
  </si>
  <si>
    <t xml:space="preserve">Was F13</t>
  </si>
  <si>
    <t xml:space="preserve">F18</t>
  </si>
  <si>
    <t xml:space="preserve">Conversation Orchestrator</t>
  </si>
  <si>
    <t xml:space="preserve">Splits a message into tasks, runs agents and merges one reply.</t>
  </si>
  <si>
    <t xml:space="preserve">- Several issues in one message become separate tasks
- Clear single-intent messages are planned by rules without an LLM call
- Tasks are ordered P0 fraud &gt; P1 security &gt; P2 deadline &gt; P3; guardrail flags override
- Independent tasks run in parallel with a timeout each
- Reply has one section per task in priority order
- Loan and fee sections get the disclaimer
- Conversation pauses for confirmation and resumes from the checkpoint
- A failed agent withholds only its own section
- Runs behind PIPELINE=v2; PIPELINE=v1 runs today's chatbot unchanged
- The chat states it is an AI at the start, and that answers are general information, not advice or a contract (from X3)
- Routes by role: client and RM requests run through the same graph, each with its own agents
- Messages matching a request category (F24) follow that category's flow
- A task the bot cannot resolve ends as a ticket (F23) or a handoff, never a dead end
- No node approves, rejects or decides a request; decisions are only recorded from people</t>
  </si>
  <si>
    <t xml:space="preserve">#2, #4, #5</t>
  </si>
  <si>
    <t xml:space="preserve">C03, C04</t>
  </si>
  <si>
    <t xml:space="preserve">Built 28 Oct: Category hand-offs and ticket-on-escalation via 0071 triggers; RM routing done via handover (0073) | Was F14</t>
  </si>
  <si>
    <t xml:space="preserve">F19</t>
  </si>
  <si>
    <t xml:space="preserve">Response Validator</t>
  </si>
  <si>
    <t xml:space="preserve">Checks each section before it is shown.</t>
  </si>
  <si>
    <t xml:space="preserve">- Sections without valid sources are withheld
- Source ids exist and match the allowed scope
- Figures match kb.facts or a Customer Data result
- 'Blocked' / 'done' wording appears only with a receipt
- No secrets, URLs or prompt text leak
- Failure → section withheld, origin validation, needs_human=True and a handoff
- Other sections are still released
- Each section shows its source (FAQ / help page), collapsed by default; a declined answer gives a short reason (from X5)
- A failed section is retried or repaired once with the validator's feedback before it is withheld and handed off
- Ticket summaries and briefs are checked: every fact maps to a ticket event, note or record id
- No approve or reject wording passes the validator</t>
  </si>
  <si>
    <t xml:space="preserve">R09, R10</t>
  </si>
  <si>
    <t xml:space="preserve">Built 28 Oct: Repair attempt already existed (agents/answer.py); validation failures now also open a ticket | Was F15</t>
  </si>
  <si>
    <t xml:space="preserve">F20</t>
  </si>
  <si>
    <t xml:space="preserve">Stub Agents</t>
  </si>
  <si>
    <t xml:space="preserve">Minimal version of each of the five agents for the user stories to build on.</t>
  </si>
  <si>
    <t xml:space="preserve">- Everyday Banking, Fraud &amp; Security, Compliance Review, Document Check and Relationship agents exist
- Each has a prompt v1 folder and a prompt-log entry
- Each has a fixed list of tools it is allowed to use
- Each returns a valid AgentResult from the real provider, never a fixed sample answer
- An out-of-scope request returns to the orchestrator
- The orchestrator can dispatch a task to every agent
- A sixth agent, RM Assistant, exists with tools: book, tickets, ticket history, meeting notes, review status, what the client was told
- RM Assistant can only read and draft; it never sends, closes or changes anything</t>
  </si>
  <si>
    <t xml:space="preserve">Was F16</t>
  </si>
  <si>
    <t xml:space="preserve">F21</t>
  </si>
  <si>
    <t xml:space="preserve">Local deployment</t>
  </si>
  <si>
    <t xml:space="preserve">Run the whole app locally with one command.</t>
  </si>
  <si>
    <t xml:space="preserve">- docker compose up starts web and api against the hosted Supabase project
- The chatbot works end to end in the browser
- Secrets come from .env only and are not baked into images or committed
- README explains how to start and stop it</t>
  </si>
  <si>
    <t xml:space="preserve">Won't (this round)</t>
  </si>
  <si>
    <t xml:space="preserve">Built 28 Oct: docker-compose.yml + Dockerfiles (not run in the build environment) | Dropped 29 Oct: Docker removed; run with uvicorn + npm (README) | Was F17</t>
  </si>
  <si>
    <t xml:space="preserve">F22</t>
  </si>
  <si>
    <t xml:space="preserve">Hardening and report evidence</t>
  </si>
  <si>
    <t xml:space="preserve">Check the foundation is safe and fast before persona work builds on it.</t>
  </si>
  <si>
    <t xml:space="preserve">- RLS checks pass for all three personas
- Audit hash chain verifies with no gaps
- Every request has trace spans per node, agent and tool
- Playwright smoke test of PIPELINE=v2 passes with the real provider
- Latency per request type is measured against the architecture budget
- Results and limitations are written up for the report
- An evaluation set of informal, misspelled, ambiguous and rephrased questions passes for every persona (from EB7)
- RLS checks also pass for Sophie (RM) and for a client outside her book
- Evaluation results come from the LangSmith harness (F26)</t>
  </si>
  <si>
    <t xml:space="preserve">29 Oct: owner-only and RLS checks for bank decisions; hosted run of C01–C10 and latency still to do | Was F18</t>
  </si>
  <si>
    <t xml:space="preserve">F23</t>
  </si>
  <si>
    <t xml:space="preserve">Ticket Service</t>
  </si>
  <si>
    <t xml:space="preserve">One place to create and track tickets in the backend, for the client and the RM.</t>
  </si>
  <si>
    <t xml:space="preserve">- create_ticket() takes category, details, urgency, attachments and a redacted conversation summary, and returns a reference (e.g. TCK-000123)
- Owner team and target time are set from the category (F24)
- Status flow: submitted → in review → waiting on client → resolved → closed; only staff or the RM change status
- The bot never marks a ticket resolved or closed
- Client-facing status is plain language and never shows internal notes
- An open ticket with the same client and category is shown instead of creating a duplicate
- A ticket past its target time is flagged as breaching
- Every create and status change writes an audit event in the same transaction
- The handoff executor (F16) creates a ticket</t>
  </si>
  <si>
    <t xml:space="preserve">#5, #7</t>
  </si>
  <si>
    <t xml:space="preserve">C04, R01</t>
  </si>
  <si>
    <t xml:space="preserve">Built 28 Oct: Migration 0071 + api/tickets.py; native tests in test_tickets.py | Was F19</t>
  </si>
  <si>
    <t xml:space="preserve">F24</t>
  </si>
  <si>
    <t xml:space="preserve">Request Category Catalogue</t>
  </si>
  <si>
    <t xml:space="preserve">Fixed request categories that guide the conversation without the bot deciding anything.</t>
  </si>
  <si>
    <t xml:space="preserve">- 6–8 categories: card limit change, statement request, personal details update, payment or transfer issue, login or access issue, compliance documents, suspected fraud, request to RM
- Each category defines: required fields, follow-up questions, documents needed, owner team, who decides, target time
- The bot asks only for fields that are still missing
- 'Who decides' is always a person or team, never the bot
- Categories are stored as versioned config, not in prompts</t>
  </si>
  <si>
    <t xml:space="preserve">#4, #2</t>
  </si>
  <si>
    <t xml:space="preserve">C04, R08</t>
  </si>
  <si>
    <t xml:space="preserve">Built 28 Oct: support.request_categories (9 categories) in 0071 | Was F20</t>
  </si>
  <si>
    <t xml:space="preserve">F25</t>
  </si>
  <si>
    <t xml:space="preserve">MCP Tool Layer</t>
  </si>
  <si>
    <t xml:space="preserve">Expose our tools as local MCP servers so every agent calls them the same way.</t>
  </si>
  <si>
    <t xml:space="preserve">- Local MCP servers expose customer data, RM data, knowledge search, tickets, calendar and documents
- Agents call tools only through the MCP client
- Allow-lists and decide() are still enforced on the server side
- Every call carries the request_id and appears as a trace span
- Direct calls are removed or kept behind a flag</t>
  </si>
  <si>
    <t xml:space="preserve">Should</t>
  </si>
  <si>
    <t xml:space="preserve">Built 28 Oct: services/tools.py + app/mcp_server.py + scripts/mcp_server.py; TOOL_TRANSPORT=mcp | Was F21</t>
  </si>
  <si>
    <t xml:space="preserve">F26</t>
  </si>
  <si>
    <t xml:space="preserve">LangSmith Tracing and Evaluation Harness</t>
  </si>
  <si>
    <t xml:space="preserve">Run our test cases automatically and score them.</t>
  </si>
  <si>
    <t xml:space="preserve">- Every run is traced to LangSmith with node, agent and tool spans, linked by request_id
- Only redacted text is sent to LangSmith
- A dataset holds the 20 test cases (C01–C10, R01–R10) in the agreed template
- Evaluators: schema (structure, required fields), competency (LLM-as-judge with a written rubric), trajectory (expected nodes, agents and tools, in order)
- One command runs all cases and outputs pass rate per evaluator and per persona
- Results table and 2 example traces (one pass, one fail + fix) ready for the slides</t>
  </si>
  <si>
    <t xml:space="preserve">All</t>
  </si>
  <si>
    <t xml:space="preserve">Built 29 Oct: LangSmith tracing (Supabase trace store retired, 0074) + dataset sync (evaluation/langsmith_sync.py); scoring experiments still to run | Was F22</t>
  </si>
  <si>
    <t xml:space="preserve">F27</t>
  </si>
  <si>
    <t xml:space="preserve">Model Comparison and Consistency Tests</t>
  </si>
  <si>
    <t xml:space="preserve">Compare models and check results are stable.</t>
  </si>
  <si>
    <t xml:space="preserve">- The same dataset runs on 2–3 OpenRouter models
- For each model: pass rate, average latency, tokens and cost per conversation
- Each case runs 3 times; triage, priority order and guardrail results must match every time
- Results and the chosen model are written up for the report</t>
  </si>
  <si>
    <t xml:space="preserve">Was F23</t>
  </si>
  <si>
    <t xml:space="preserve">F28</t>
  </si>
  <si>
    <t xml:space="preserve">Audit Trail Walkthrough (administrator view)</t>
  </si>
  <si>
    <t xml:space="preserve">Show how an administrator or compliance officer traces a decision, without building an admin app.</t>
  </si>
  <si>
    <t xml:space="preserve">- A script rebuilds one request end to end: chat turn → plan → agents → tools → validation → confirmation → receipt → ticket → audit events
- Output is a readable timeline with request_id, times, actors and decisions
- The audit hash chain verifies with no gaps
- One sample is used in the slides and report
- Out of scope: an admin user interface</t>
  </si>
  <si>
    <t xml:space="preserve">R03</t>
  </si>
  <si>
    <t xml:space="preserve">Built 28 Oct: Migration 0072 + scripts/audit_walkthrough.py | Was F24</t>
  </si>
  <si>
    <t xml:space="preserve">QA1</t>
  </si>
  <si>
    <t xml:space="preserve">Test Case Set (template + 20 cases)</t>
  </si>
  <si>
    <t xml:space="preserve">Write and maintain the test cases the evaluation harness runs.</t>
  </si>
  <si>
    <t xml:space="preserve">- Every case uses the agreed template: ID, persona, category, type, priority, backlog story, UBS feedback, owner, setup, input, orchestrator steps, specialist agents, tools, agent-level checks, priority order and escalation, expected output, must not happen, hand-off, checks and pass criteria, run record
- 10 cases for Michelle (C01–C10) and 10 for Sophie (R01–R10), updated from Alex/Marcus to the new personas
- Mix per persona: about 4 normal, 3 guardrail, 2 edge and 1 attack
- Every Must story has at least one case (see the Test cases column); every UBS feedback point is covered
- Each case has an owner and is re-run after any fix, with the result recorded</t>
  </si>
  <si>
    <t xml:space="preserve"> | 29 Oct: Michelle C01–C10 written (docs/evaluation/test-cases.md); Sophie R01–R10 open</t>
  </si>
  <si>
    <t xml:space="preserve">CC</t>
  </si>
  <si>
    <t xml:space="preserve">Common acceptance criteria (apply to every story)</t>
  </si>
  <si>
    <t xml:space="preserve">Shared rules every chatbot story must meet, written once instead of repeated in each story.</t>
  </si>
  <si>
    <t xml:space="preserve">- Asks a clarifying question when the request is unclear or missing details, instead of guessing.
- Answers only from approved knowledge or the customer's own records; never invents figures, fees, dates or procedures.
- When it cannot help, says so and directs the customer to the right official channel or a person, with the conversation context.
- A "Talk to a person" option is available at any point.
- Does not give personalised investment, legal or tax advice, and says so when asked.
- Never approves, rejects or decides a request, and says who does.
- Checks the user is signed in (with MFA where required) before anything account-specific; general questions need no sign-in.
- Anything it cannot resolve ends as a ticket with a reference number, raised only after the user confirms.
- Every reply is traceable: one request_id links the chat, trace, audit events and any ticket.
- Client messages written by the bot for an RM are drafts until the RM approves them.</t>
  </si>
  <si>
    <t xml:space="preserve">#1, #2, #5, #6</t>
  </si>
  <si>
    <t xml:space="preserve">C05, C10, R08</t>
  </si>
  <si>
    <t xml:space="preserve">Built 28 Oct: Never decides, ticket on unresolved, request_id traceability</t>
  </si>
  <si>
    <t xml:space="preserve">Persona 1 - Michelle, client (one client persona: everyday banking, compliance review, handover to her RM)</t>
  </si>
  <si>
    <t xml:space="preserve">CR1</t>
  </si>
  <si>
    <t xml:space="preserve">Login</t>
  </si>
  <si>
    <t xml:space="preserve">As a customer, I want to securely log in to my banking account so that I can access personalised account information and interact with the chatbot.</t>
  </si>
  <si>
    <t xml:space="preserve">- The system provides a login page where customers enter their email address and password.
- Upon successful login, customers are redirected to the chatbot interface.
- If incorrect login credentials are entered, the system displays an appropriate error message.
- Unauthenticated customers cannot access personalised account information.
- The login session lasts until the customer logs out or the session expires; logging out ends access to personalised information until they log in again.</t>
  </si>
  <si>
    <t xml:space="preserve">Kar Mun</t>
  </si>
  <si>
    <t xml:space="preserve">Moved</t>
  </si>
  <si>
    <t xml:space="preserve">Was EB1</t>
  </si>
  <si>
    <t xml:space="preserve">CR2</t>
  </si>
  <si>
    <t xml:space="preserve">Product &amp; Service Information (no sign-in)</t>
  </si>
  <si>
    <t xml:space="preserve">As a customer, I want to ask about the bank's account products and common services without logging in, so that I can get help without contacting a customer service officer.</t>
  </si>
  <si>
    <t xml:space="preserve">- Without login, the chatbot answers general questions about account features, fees, limits and interest.
- The chatbot answers common service enquiries, such as fund transfers, updating personal details, requesting statements and accessing online banking.
- The chatbot gives clear, step-by-step instructions for common banking procedures, written in plain language.
- Where an action has to be done elsewhere, the chatbot links to the right place in the app or website.
- Guest answers never include or ask for personal data; if a question needs her account, the bot asks her to sign in
- Quotes published fees only; fee discussions or negotiations go to her RM</t>
  </si>
  <si>
    <t xml:space="preserve">#1, #3</t>
  </si>
  <si>
    <t xml:space="preserve">C01, C02</t>
  </si>
  <si>
    <t xml:space="preserve">Built 28 Oct: Guest login prompt already existed; fee wording via knowledge | Was EB6</t>
  </si>
  <si>
    <t xml:space="preserve">CR3</t>
  </si>
  <si>
    <t xml:space="preserve">Personalised Document Checklist</t>
  </si>
  <si>
    <t xml:space="preserve">As a client responding to a compliance review, I want the chatbot to list the documents requested in my notice and show which are still outstanding, so that I can prepare and submit everything without overlooking a requirement.</t>
  </si>
  <si>
    <t xml:space="preserve">- Given a compliance notice, the chatbot lists each document explicitly requested, with submission instructions from the notice or approved guidance.
- The chatbot does not add document requirements that are not in the notice.
- Each item shows one status: not prepared, prepared, submitted – awaiting review, or unknown; an unknown status is never shown as missing.
- The client can mark items as prepared or not prepared, and the checklist updates straight away.
- A document is never shown as accepted unless the authorised system confirms acceptance.
- If the notice is incomplete or unclear, the chatbot recommends contacting the bank.
- Lists each document with what it must show and a made-up example (proof of address, statements, declarations, tax form, ID)
- After the bank reviews a submitted document, the item shows the bank's decision: accepted, or a correction with what to fix</t>
  </si>
  <si>
    <t xml:space="preserve">C07</t>
  </si>
  <si>
    <t xml:space="preserve">Core need | Built 29 Oct: bank decision (0076) | Was CR1</t>
  </si>
  <si>
    <t xml:space="preserve">CR4</t>
  </si>
  <si>
    <t xml:space="preserve">Upload a Document</t>
  </si>
  <si>
    <t xml:space="preserve">As a client responding to a compliance review, I want to upload a requested document through the chatbot, so that I can submit it without visiting a branch or emailing it.</t>
  </si>
  <si>
    <t xml:space="preserve">- A logged-in client can upload a file against a checklist item.
- Allowed formats and size limits are shown before upload; other files are rejected with a clear message.
- Uploaded files are stored privately and can be read only by the client and the bank.
- After a successful upload, the checklist item shows submitted – awaiting review.
- Uploading from the Compliance review page or the review under the chat keeps the client on that page; nothing is sent to the chat unless they ask
- After a refresh the uploaded files, check results and statuses are still shown</t>
  </si>
  <si>
    <t xml:space="preserve">C08</t>
  </si>
  <si>
    <t xml:space="preserve">Core need | Was CR7</t>
  </si>
  <si>
    <t xml:space="preserve">CR5</t>
  </si>
  <si>
    <t xml:space="preserve">Document Pre-Check (templates)</t>
  </si>
  <si>
    <t xml:space="preserve">As a client submitting supporting documents, I want the chatbot to identify potential document issues immediately, so that I can correct them before formal review instead of waiting several working days to learn that something is missing or unsuitable.</t>
  </si>
  <si>
    <t xml:space="preserve">- For an uploaded document, the system checks that the file opens, the page count matches what is expected, and the required fields are present.
- For each issue found, the chatbot explains what is wrong and how to fix it, in the same chat.
- If the document cannot be assessed reliably (e.g. not legible), the chatbot says so instead of giving a result.
- The result is labelled as a preliminary check, not formal compliance approval.
- Flags documents that are expired, unclear, or may need translation or certification (e.g. foreign-issued)
- Checks use fixed templates per document type, not the model: name, Singapore address with 6-digit postal code, issuer, date within 3 months, each of the last 3 months for statements, signature for declarations
- Findings are plain sentences naming what is missing; a file with no readable text asks for the PDF from the provider
- Only a clean check submits the document; once submitted the item shows one line "Sent to the bank on &lt;date&gt; – waiting for review" and a link to send a different file
- "Explain in chat" appears only when the check found a problem</t>
  </si>
  <si>
    <t xml:space="preserve">Core need | Built 28 Oct: translation_needed finding (notice_checks.py) | Built 29 Oct: template checks (document_templates.py), submitted state | Was CR2</t>
  </si>
  <si>
    <t xml:space="preserve">CR6</t>
  </si>
  <si>
    <t xml:space="preserve">Compliance Status &amp; Information Requests</t>
  </si>
  <si>
    <t xml:space="preserve">As a client in a compliance review, I want to see the latest review status, what I still need to do, and any further information the bank has asked for, so that I can respond without unnecessary delays.</t>
  </si>
  <si>
    <t xml:space="preserve">- Given an available review record, the chatbot shows the latest status and the date it was last updated.
- The status separates actions required from the client from actions pending with the bank.
- If status information is unavailable or outdated, the chatbot says so instead of inventing progress.
- For each recorded request for more information, the chatbot explains in plain language what is being asked.
- If the reason for a request is unclear, the chatbot does not speculate and directs the client to the support team.
- A correction the bank asks for appears as a request on her review, with what to send and by when, and closes when she sends a new file
- She can answer a question from the bank in a reply box; it then shows as sent and waiting for review, with a receipt in Actions
- Only the bank closes a question: it accepts the answer or asks a follow-up question</t>
  </si>
  <si>
    <t xml:space="preserve">Core need | Built 29 Oct: corrections as requests (0076); answering bank questions (0080) | Was CR4</t>
  </si>
  <si>
    <t xml:space="preserve">CR7</t>
  </si>
  <si>
    <t xml:space="preserve">Review Deadline Reminders</t>
  </si>
  <si>
    <t xml:space="preserve">As a client with a pending compliance request, I want to receive reminders of relevant deadlines and outstanding actions, so that I can respond within the required timeframe.</t>
  </si>
  <si>
    <t xml:space="preserve">- Given an authorised deadline and an outstanding action, the system can generate a reminder according to its configured notification rules.
- The reminder identifies the outstanding action and the applicable deadline.
- The chatbot does not invent a deadline when none is recorded.
- The client is directed to the approved channel for completing the outstanding action.
- Reminders are sent only through supported channels and in accordance with the applicable notification preferences and privacy requirements.
- The Inbox sits beside Talk to a person in the header with an unread count
- A correction due within 7 days also gets a reminder
- Once she has sent what a reminder asked for, it disappears from her Inbox</t>
  </si>
  <si>
    <t xml:space="preserve">Demo check</t>
  </si>
  <si>
    <t xml:space="preserve">29 Oct: Inbox moved to the header | Needs the notification worker on (README step 5); answered reminders cleared (0078) | Was CR6</t>
  </si>
  <si>
    <t xml:space="preserve">CR8</t>
  </si>
  <si>
    <t xml:space="preserve">Hand Off to My RM with Context</t>
  </si>
  <si>
    <t xml:space="preserve">As Michelle, I want sensitive or complex matters passed to my RM with the context, so that I never have to repeat myself.</t>
  </si>
  <si>
    <t xml:space="preserve">- For investment decisions, fee negotiations, complex transfers or sensitive matters, the bot offers a handoff to her RM.
- She sees what will be shared before it is sent.
- The RM receives the escalation summary in RM5.
- The bot tells her who will contact her and what to expect.
- The assistant detects these by rules (advice, fees or rates, complaints, "talk to my RM", call back) and does not answer them itself
- It says politely it cannot help with that part, hands the redacted question to her RM and gives a TCK reference to follow in My requests
- "Talk to a person" goes to her RM; fraud still goes to fraud operations</t>
  </si>
  <si>
    <t xml:space="preserve">C10</t>
  </si>
  <si>
    <t xml:space="preserve">Built 28 Oct: Existing Talk to a person + automatic ticket | Built 28 Oct: rm_handover.py + migration 0073 | Was HO1</t>
  </si>
  <si>
    <t xml:space="preserve">CR9</t>
  </si>
  <si>
    <t xml:space="preserve">Raise a Ticket</t>
  </si>
  <si>
    <t xml:space="preserve">As Michelle, I want the chatbot to log an issue it can't resolve and give me a reference number, so that I know it is being handled without chasing anyone.</t>
  </si>
  <si>
    <t xml:space="preserve">- When the bot can't resolve something, it offers to raise a ticket.
- It confirms the details with her first; a ticket is never raised without her knowing.
- The ticket carries the category, a short issue summary, any documents and the redacted conversation context.
- She gets a reference number in the chat.
- If the same issue is already open, the bot shows that ticket instead of creating a duplicate.</t>
  </si>
  <si>
    <t xml:space="preserve">C04, C10</t>
  </si>
  <si>
    <t xml:space="preserve">Built 28 Oct: ticket.create action, dedup of open requests | Was TK1</t>
  </si>
  <si>
    <t xml:space="preserve">CR10</t>
  </si>
  <si>
    <t xml:space="preserve">Ticket Status in Plain Language</t>
  </si>
  <si>
    <t xml:space="preserve">As Michelle, I want to ask for the status of my ticket, so that I know where it stands without chasing my RM.</t>
  </si>
  <si>
    <t xml:space="preserve">- "What's the status of my ticket?" lists her open tickets with reference, status, last update and next step.
- Status is in plain language and never shows internal notes.
- Never says an issue is resolved unless the system records it.
- If a ticket is past its target time, says so and offers to contact her RM.
- Requests handed to the RM appear as "Question for your relationship manager" with status and the RM's note when resolved</t>
  </si>
  <si>
    <t xml:space="preserve">Built 28 Oct: My requests page with plain-language status | Was TK2</t>
  </si>
  <si>
    <t xml:space="preserve">CR11</t>
  </si>
  <si>
    <t xml:space="preserve">Guided Request: Card Limit Change</t>
  </si>
  <si>
    <t xml:space="preserve">As Michelle, I want to request a higher card limit through the chatbot and understand what is needed and who decides, so that I don't use my RM's time on routine requests.</t>
  </si>
  <si>
    <t xml:space="preserve">- Recognises the card limit category (F24) and asks only for missing details: amount, temporary or permanent, dates, reason.
- Lists the documents needed from approved policy.
- Summarises the request and asks her to confirm before raising a ticket.
- Raises a ticket to the cards team and gives her the reference number and typical turnaround.
- Never says the request is approved, rejected or likely to succeed; states who decides.
- If she asks the bot to just approve it, it politely refuses and offers her RM.</t>
  </si>
  <si>
    <t xml:space="preserve">C04, C05</t>
  </si>
  <si>
    <t xml:space="preserve">UBS's own example | Built 28 Oct: My requests form + chat button; SQL checks card ownership and fields | Was CL1</t>
  </si>
  <si>
    <t xml:space="preserve">CR12</t>
  </si>
  <si>
    <t xml:space="preserve">Suspicious Charge &amp; Lost Card</t>
  </si>
  <si>
    <t xml:space="preserve">As a customer, I want urgent help when I see a charge I don't recognise or my card is lost or stolen, so that I can protect my money quickly.</t>
  </si>
  <si>
    <t xml:space="preserve">- The chatbot gives urgent steps first and tells the customer to contact the bank immediately through official channels.
- The chatbot offers a temporary card block straight away, blocks the card only after the customer confirms, and then confirms in the chat that the block is active.
- Verification and permanent cancellation are sent to a human agent, who handles them when available.
- The chatbot explains the next steps, including how to get a replacement card.
- The chatbot does not claim to investigate or reverse the charge.
- Raises a P0 ticket to the fraud team with a reference number and notifies her RM</t>
  </si>
  <si>
    <t xml:space="preserve">C03</t>
  </si>
  <si>
    <t xml:space="preserve">Built 28 Oct: Fraud handoff now opens a P0 ticket automatically | Built 29 Oct: Michelle's own demo data, card 7310 used in Singapore then London (0075) | Was EB8</t>
  </si>
  <si>
    <t xml:space="preserve">CR13</t>
  </si>
  <si>
    <t xml:space="preserve">Failed or Pending Transaction</t>
  </si>
  <si>
    <t xml:space="preserve">As a customer, I want to ask about failed or pending transactions so that I can understand the issue and know what to do next.</t>
  </si>
  <si>
    <t xml:space="preserve">- The chatbot explains the difference between failed and pending transactions in plain language.
- The chatbot gives troubleshooting steps for the type of issue reported.
- For logged-in customers, the chatbot explains the issue using their own transaction record.
- The chatbot does not claim to reverse, cancel or speed up a transaction.</t>
  </si>
  <si>
    <t xml:space="preserve">Secondary need: payment status | Built 29 Oct: pending transfer in her records (0075) | Was EB5</t>
  </si>
  <si>
    <t xml:space="preserve">CR14</t>
  </si>
  <si>
    <t xml:space="preserve">Credit Card Enquiry</t>
  </si>
  <si>
    <t xml:space="preserve">As a customer, I want to ask questions about my credit card, such as fees, limits and payment due dates, so that I can manage my card properly.</t>
  </si>
  <si>
    <t xml:space="preserve">- The chatbot provides the customer's credit card details, including credit limit, outstanding balance, minimum payment and payment due date.
- The chatbot explains applicable credit card fees and charges.
- The chatbot explains general credit card concepts, such as minimum payments, interest charges and available credit.
- When the customer has more than one card, the chatbot asks which card they mean.
- Requests to change the limit hand over to CR11</t>
  </si>
  <si>
    <t xml:space="preserve">Limit changes now handled by CR11 | Was EB4</t>
  </si>
  <si>
    <t xml:space="preserve">CR15</t>
  </si>
  <si>
    <t xml:space="preserve">My Account Information &amp; Statements</t>
  </si>
  <si>
    <t xml:space="preserve">As a customer, I want to ask about my own accounts, such as balances, recent transactions and fees charged, so that I can understand my account without having to call or visit a branch.</t>
  </si>
  <si>
    <t xml:space="preserve">- Before showing any account-specific information, the bot asks the customer to log in.
- Once logged in, the bot answers questions about balances, recent transactions, account details and fees charged.
- The bot can explain a specific charge or transaction in plain language (e.g. what a fee is for).
- Requests the bot cannot do (e.g. closing an account or disputing a transaction) are handed to a person or the right service channel.
- She can get a monthly statement for each account and card for the last 3 full months, view it and print or save it as a PDF
- The statement shows the period, opening and closing balance, money in and out, and each transaction with a running balance; pending payments are listed as not included
- Asked how to get a statement, the assistant gives the steps and a button to Statements; for an older month, a certified or a paper copy it offers a statement copy request
- The assistant never claims to open, download or send a statement itself</t>
  </si>
  <si>
    <t xml:space="preserve">Could</t>
  </si>
  <si>
    <t xml:space="preserve">Built 29 Oct: Statements on Overview, July–September history (0077) | Was EB2</t>
  </si>
  <si>
    <t xml:space="preserve">CR16</t>
  </si>
  <si>
    <t xml:space="preserve">Loan Enquiry</t>
  </si>
  <si>
    <t xml:space="preserve">As a customer, I want to ask about available loan products, eligibility requirements and application procedures so that I can understand my borrowing options.</t>
  </si>
  <si>
    <t xml:space="preserve">- The chatbot explains available loan products, eligibility requirements and application procedures.
- The chatbot does not guarantee loan approval and states that the bank makes the final decision.
- The chatbot directs the customer to the appropriate banking channel for actual loan applications.</t>
  </si>
  <si>
    <t xml:space="preserve">Deprioritised</t>
  </si>
  <si>
    <t xml:space="preserve">Not in the new persona | Was EB3</t>
  </si>
  <si>
    <t xml:space="preserve">CR17</t>
  </si>
  <si>
    <t xml:space="preserve">Authorised Delegate</t>
  </si>
  <si>
    <t xml:space="preserve">As Michelle, I want my assistant to submit documents for me with my authorisation, so that I don't handle admin myself.</t>
  </si>
  <si>
    <t xml:space="preserve">- Future scope: only mentioned in the presentation.</t>
  </si>
  <si>
    <t xml:space="preserve">Future | Was DL1</t>
  </si>
  <si>
    <t xml:space="preserve">CR18</t>
  </si>
  <si>
    <t xml:space="preserve">Book a Meeting with My RM</t>
  </si>
  <si>
    <t xml:space="preserve">As Michelle, I want to book a time with my relationship manager myself, so that I don't have to wait for a call back.</t>
  </si>
  <si>
    <t xml:space="preserve">- She can see her RM's free times for the next 14 days and pick one, in person, by phone or by video
- Picking a time holds it for 10 minutes; it is booked only when she confirms
- She can see her upcoming meetings and cancel one; two bookings can never share a time
- Asking the assistant for a meeting suggests free times and a button to book; it does not raise a ticket or claim a booking</t>
  </si>
  <si>
    <t xml:space="preserve">Built 29 Oct: My requests → Meetings; prompt relationship/v5</t>
  </si>
  <si>
    <t xml:space="preserve">Persona 2 - Sophie, Relationship Manager (not built yet)</t>
  </si>
  <si>
    <t xml:space="preserve">RM1</t>
  </si>
  <si>
    <t xml:space="preserve">RM Sign-in and Client Book</t>
  </si>
  <si>
    <t xml:space="preserve">As Sophie, I want to sign in to an RM view and see my clients, so that I can work on them in one place.</t>
  </si>
  <si>
    <t xml:space="preserve">- Sophie signs in as an RM and sees the list of clients in her book.
- Clients outside her book cannot be opened, searched or mentioned by the assistant.
- The RM view is separate from the client chat.
- Note for slides: in practice this would sit inside the RM's existing workspace.</t>
  </si>
  <si>
    <t xml:space="preserve">R06</t>
  </si>
  <si>
    <t xml:space="preserve">RM2</t>
  </si>
  <si>
    <t xml:space="preserve">Ticket Inbox Ranked by Urgency</t>
  </si>
  <si>
    <t xml:space="preserve">As Sophie, I want my open tickets ranked by urgency, so that urgent cases reach me first.</t>
  </si>
  <si>
    <t xml:space="preserve">- Lists open tickets for clients in her book only.
- Order: P0 fraud or security → breaching target time → deadlines → the rest.
- Each row shows client, category, one-line summary, urgency, age or target time, and reference.
- "What are my open tickets and which are most urgent?" returns the same list in chat.</t>
  </si>
  <si>
    <t xml:space="preserve">R01</t>
  </si>
  <si>
    <t xml:space="preserve">RM3</t>
  </si>
  <si>
    <t xml:space="preserve">Ticket Summary</t>
  </si>
  <si>
    <t xml:space="preserve">As Sophie, I want any ticket condensed into a short brief, so that I can understand it in under a minute.</t>
  </si>
  <si>
    <t xml:space="preserve">- Covers: issue, history, actions taken, what is pending, owner, urgency and a suggested next step.
- Every fact links to the ticket event it came from; a link opens the full ticket.
- Missing information is flagged, not guessed.
- The assistant never closes or changes the ticket.</t>
  </si>
  <si>
    <t xml:space="preserve">#5, #6</t>
  </si>
  <si>
    <t xml:space="preserve">Gap: add case</t>
  </si>
  <si>
    <t xml:space="preserve">RM4</t>
  </si>
  <si>
    <t xml:space="preserve">Draft a Client Update</t>
  </si>
  <si>
    <t xml:space="preserve">As Sophie, I want the assistant to draft an update for a client on a ticket, so that I don't write it from scratch.</t>
  </si>
  <si>
    <t xml:space="preserve">- The draft uses approved wording and only facts on record.
- It is marked Draft; Sophie can edit it.
- It is sent only after Sophie approves it.
- No promises the bank hasn't confirmed.
- The audit log records the draft, her edits, who approved and the text sent; the client sees it through CR10.</t>
  </si>
  <si>
    <t xml:space="preserve">#2, #7</t>
  </si>
  <si>
    <t xml:space="preserve">R02, R03</t>
  </si>
  <si>
    <t xml:space="preserve">RM5</t>
  </si>
  <si>
    <t xml:space="preserve">Escalation Summary</t>
  </si>
  <si>
    <t xml:space="preserve">As Sophie, I want every escalation to arrive with a concise summary, so that I can act without calling the client back.</t>
  </si>
  <si>
    <t xml:space="preserve">- Includes: who the client is, issues raised, what the bot already said, what is outstanding and a suggested next step.
- Links to the ticket and to the redacted conversation summary.
- Urgent escalations (e.g. suspected fraud) are marked P0 and appear first in RM2.</t>
  </si>
  <si>
    <t xml:space="preserve">RM6</t>
  </si>
  <si>
    <t xml:space="preserve">Meeting History Summary</t>
  </si>
  <si>
    <t xml:space="preserve">As Sophie, I want past meeting notes summarised, including the previous RM's, so that I understand the client's history before we meet.</t>
  </si>
  <si>
    <t xml:space="preserve">- Summarises: what was discussed, decisions the client made, promises the bank made, open follow-ups and stated preferences.
- Every point cites the note's date and author.
- If nothing is on record, says so instead of guessing.
- Gives no investment recommendations.</t>
  </si>
  <si>
    <t xml:space="preserve">R04, R09</t>
  </si>
  <si>
    <t xml:space="preserve">RM7</t>
  </si>
  <si>
    <t xml:space="preserve">Pre-meeting and Inherited-client Brief</t>
  </si>
  <si>
    <t xml:space="preserve">As Sophie, I want one brief before a meeting or when I inherit a client, so that our first meeting starts from understanding.</t>
  </si>
  <si>
    <t xml:space="preserve">- Combines the meeting history (RM6), open tickets, pending reviews, recent chatbot interactions and what the client was told about the RM change.
- Includes the client's handover note (RC2) only with an active consent grant; otherwise shows "Handover note not shared by client".
- Flags gaps and suggests questions to ask.
- Fits on one screen, with every point linked to its source.</t>
  </si>
  <si>
    <t xml:space="preserve">#1, #6</t>
  </si>
  <si>
    <t xml:space="preserve">R04, R05</t>
  </si>
  <si>
    <t xml:space="preserve">RM8</t>
  </si>
  <si>
    <t xml:space="preserve">What Was the Client Told</t>
  </si>
  <si>
    <t xml:space="preserve">As Sophie, I want to see what the chatbot told a client and what they uploaded, so that I can stand behind it.</t>
  </si>
  <si>
    <t xml:space="preserve">- Shows the bot's statements and the client's uploads with dates, quoted rather than paraphrased.
- Only for clients in her book.</t>
  </si>
  <si>
    <t xml:space="preserve">RM9</t>
  </si>
  <si>
    <t xml:space="preserve">Pre-filled Bot-raised Tickets</t>
  </si>
  <si>
    <t xml:space="preserve">As Sophie, I want tickets raised by the bot to arrive categorised with context, so that nobody has to re-ask the client.</t>
  </si>
  <si>
    <t xml:space="preserve">- Bot-raised tickets have category, summary, attachments and conversation context filled in.
- Missing required fields are listed on the ticket.</t>
  </si>
  <si>
    <t xml:space="preserve">RM10</t>
  </si>
  <si>
    <t xml:space="preserve">Meeting Notes into Follow-up Tickets</t>
  </si>
  <si>
    <t xml:space="preserve">As Sophie, I want my meeting notes turned into follow-up tickets, so that nothing promised is forgotten.</t>
  </si>
  <si>
    <t xml:space="preserve">- Extracts only actions stated in the notes.
- Each draft ticket has category, owner team and due date.
- Tickets are created only after Sophie confirms each one.</t>
  </si>
  <si>
    <t xml:space="preserve">R07</t>
  </si>
  <si>
    <t xml:space="preserve">Was RM13</t>
  </si>
  <si>
    <t xml:space="preserve">RM11</t>
  </si>
  <si>
    <t xml:space="preserve">Client Review Status at a Glance</t>
  </si>
  <si>
    <t xml:space="preserve">As Sophie, I want to see every client's compliance review status and missing documents.</t>
  </si>
  <si>
    <t xml:space="preserve">- Future scope: shown in the presentation only.</t>
  </si>
  <si>
    <t xml:space="preserve">Future | Was RM10</t>
  </si>
  <si>
    <t xml:space="preserve">RM12</t>
  </si>
  <si>
    <t xml:space="preserve">Proactive Alerts and Daily Digest</t>
  </si>
  <si>
    <t xml:space="preserve">As Sophie, I want urgent alerts, a daily digest and reminders for stuck reviews.</t>
  </si>
  <si>
    <t xml:space="preserve">Future | Was RM11</t>
  </si>
  <si>
    <t xml:space="preserve">RM13</t>
  </si>
  <si>
    <t xml:space="preserve">Introductions for Inherited Clients</t>
  </si>
  <si>
    <t xml:space="preserve">As Sophie, I want help with a bank-authorised introduction and proposing meeting times.</t>
  </si>
  <si>
    <t xml:space="preserve">Future | Was RM12</t>
  </si>
  <si>
    <t xml:space="preserve">Removed from the client view (kept for traceability)</t>
  </si>
  <si>
    <t xml:space="preserve">RC1</t>
  </si>
  <si>
    <t xml:space="preserve">Smooth Relationship Manager Transition</t>
  </si>
  <si>
    <t xml:space="preserve">As a client whose relationship manager has changed, I want a personalised introduction to my new advisor or advisory team, so that I know who is looking after me and feel confident that my relationship with DemoBank will continue smoothly.</t>
  </si>
  <si>
    <t xml:space="preserve">- Given that a new relationship manager has been assigned, the chatbot retrieves the confirmed advisor details from an authorised system.
- The chatbot provides the new advisor's name, role and available contact details.
- The chatbot explains the change only with approved wording: no invented reasons and no promises the bank has not confirmed.
- If the new advisor's details are unavailable, the chatbot directs the client to a support channel.</t>
  </si>
  <si>
    <t xml:space="preserve">Merged</t>
  </si>
  <si>
    <t xml:space="preserve">Client side of Sophie's inherited-client story | Removed 28 Oct: RM pages are not in the client view; requests go through CR8 handover and CR9/CR10 tickets</t>
  </si>
  <si>
    <t xml:space="preserve">RC2</t>
  </si>
  <si>
    <t xml:space="preserve">Handover Note for New Relationship Manager</t>
  </si>
  <si>
    <t xml:space="preserve">As a client moving to a new relationship manager, I want to prepare a short note of my preferences, priorities and the topics I want to discuss, so that my new advisor understands what matters to me and our first meeting is productive.</t>
  </si>
  <si>
    <t xml:space="preserve">- The chatbot drafts the note from information that is available and authorised for use.
- The client can add the questions and topics they want to discuss; the chatbot organises them into a short agenda within the note.
- The client can review and edit the whole note before sharing it.
- The chatbot names the recipient and explains how the note will be used.
- The note is shared only after the client's consent and the authorisation checks, and the chatbot confirms whether it was shared.</t>
  </si>
  <si>
    <t xml:space="preserve">Feeds Sophie's inherited-client brief (RM7) | Removed 28 Oct: RM pages are not in the client view; requests go through CR8 handover and CR9/CR10 tickets</t>
  </si>
  <si>
    <t xml:space="preserve">RC3</t>
  </si>
  <si>
    <t xml:space="preserve">Instant Meeting Scheduling</t>
  </si>
  <si>
    <t xml:space="preserve">As a client with a new relationship manager, I want to view available meeting times and schedule an introductory call through the chatbot, so that I can reconnect with a person conveniently and feel reassured about the transition.</t>
  </si>
  <si>
    <t xml:space="preserve">- The chatbot retrieves available appointment slots from an authorised scheduling system.
- The client can select a suitable date and time from the available options.
- The chatbot confirms the appointment only after the scheduling system confirms the booking.
- The confirmation includes the meeting date, time, format and relevant joining details where available.
- If direct scheduling is unavailable, the chatbot provides a verified alternative for contacting the advisory team.</t>
  </si>
  <si>
    <t xml:space="preserve">Removed 28 Oct: RM pages are not in the client view; requests go through CR8 handover and CR9/CR10 tickets</t>
  </si>
  <si>
    <t xml:space="preserve">RC4</t>
  </si>
  <si>
    <t xml:space="preserve">Request Intake &amp; Status</t>
  </si>
  <si>
    <t xml:space="preserve">As a client, I want to send a request to my relationship manager at any time and check its progress, especially while my relationship manager is changing or unavailable, so that I know it is being handled and who to contact.</t>
  </si>
  <si>
    <t xml:space="preserve">- The chatbot collects a structured request: what is needed, urgency and deadline.
- The chatbot confirms the request was received, and it appears in the relationship manager's queue.
- The client can see each request's latest status (sent, seen, answered) and any action required from them.
- The chatbot does not say a request was transferred or completed unless the system records it.
- If the status is unavailable, the chatbot gives the follow-up contact channel.</t>
  </si>
  <si>
    <t xml:space="preserve">New client requests now go through CR9/CR10 and the Ticket Service; reuse RC4's status code there | Removed 28 Oct: RM pages are not in the client view; requests go through CR8 handover and CR9/CR10 tickets</t>
  </si>
  <si>
    <t xml:space="preserve">Backlog summary</t>
  </si>
  <si>
    <t xml:space="preserve">All figures update from the Product Backlog sheet.</t>
  </si>
  <si>
    <t xml:space="preserve">Stories</t>
  </si>
  <si>
    <t xml:space="preserve">Not completed</t>
  </si>
  <si>
    <t xml:space="preserve">Points not completed</t>
  </si>
  <si>
    <t xml:space="preserve">Total</t>
  </si>
  <si>
    <t xml:space="preserve">Change type</t>
  </si>
  <si>
    <t xml:space="preserve">Story points are suggested only for new stories; blank means not estimated yet.</t>
  </si>
  <si>
    <t xml:space="preserve">How to read this backlog</t>
  </si>
  <si>
    <t xml:space="preserve">Priority: Must = needed for the final demo · Should = build if time allows · Could = future scope, mention on slides · Won't = dropped this round</t>
  </si>
  <si>
    <t xml:space="preserve">Change: New = new story · Updated = acceptance criteria added · Moved = same story, new persona section · Merged = replaced by newer stories · Unchanged · Deprioritised</t>
  </si>
  <si>
    <t xml:space="preserve">Test cases: the test case IDs (C01–C10 in docs/evaluation/test-cases.md) that prove each story; red 'Gap' = a Must story with no test case yet.</t>
  </si>
  <si>
    <t xml:space="preserve">UBS feedback: #1 CID, identity and consent · #2 bot never decides · #3 general help on client side, RM as main user · #4 request categories · #5 tickets to backend · #6 evaluation, testing, traceability · #7 audit trail / administrator view</t>
  </si>
  <si>
    <t xml:space="preserve">Fill in Assigned To and Completed? as work progresses. Points for new stories are suggestions.</t>
  </si>
  <si>
    <t xml:space="preserve">IDs (29 Oct 2026): F1–F28 foundation, QA1 test cases, CC common criteria, CR1–CR18 client (Michelle), RM1–RM13 relationship manager (Sophie). The old ID is in Notes ("Was …").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</si>
</sst>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7A1A1A"/>
        <bgColor rgb="FF800000"/>
      </patternFill>
    </fill>
    <fill>
      <patternFill patternType="solid">
        <fgColor rgb="FFEBEBE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7A1A1A"/>
          <bgColor rgb="FF000000"/>
        </patternFill>
      </fill>
    </dxf>
    <dxf>
      <fill>
        <patternFill patternType="solid">
          <fgColor rgb="FFEBEB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1A1A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EBEB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7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10" min="8" style="1" width="13"/>
    <col collapsed="false" customWidth="true" hidden="false" outlineLevel="0" max="11" min="11" style="1" width="16"/>
    <col collapsed="false" customWidth="true" hidden="false" outlineLevel="0" max="12" min="12" style="1" width="30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3" t="s">
        <v>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23.25" hidden="false" customHeight="true" outlineLevel="0" collapsed="false">
      <c r="A3" s="4" t="s">
        <v>13</v>
      </c>
      <c r="B3" s="5" t="s">
        <v>14</v>
      </c>
      <c r="C3" s="5" t="s">
        <v>15</v>
      </c>
      <c r="D3" s="5"/>
      <c r="E3" s="5" t="s">
        <v>16</v>
      </c>
      <c r="F3" s="5" t="s">
        <v>17</v>
      </c>
      <c r="G3" s="5"/>
      <c r="H3" s="5" t="s">
        <v>18</v>
      </c>
      <c r="I3" s="5" t="s">
        <v>19</v>
      </c>
      <c r="J3" s="5"/>
      <c r="K3" s="5"/>
      <c r="L3" s="5" t="s">
        <v>20</v>
      </c>
    </row>
    <row r="4" customFormat="false" ht="180" hidden="false" customHeight="true" outlineLevel="0" collapsed="false">
      <c r="A4" s="4" t="s">
        <v>21</v>
      </c>
      <c r="B4" s="5" t="s">
        <v>22</v>
      </c>
      <c r="C4" s="5" t="s">
        <v>23</v>
      </c>
      <c r="D4" s="5" t="s">
        <v>24</v>
      </c>
      <c r="E4" s="5" t="s">
        <v>16</v>
      </c>
      <c r="F4" s="5" t="s">
        <v>25</v>
      </c>
      <c r="G4" s="5"/>
      <c r="H4" s="5" t="s">
        <v>18</v>
      </c>
      <c r="I4" s="5" t="s">
        <v>26</v>
      </c>
      <c r="J4" s="5" t="s">
        <v>27</v>
      </c>
      <c r="K4" s="5"/>
      <c r="L4" s="5" t="s">
        <v>28</v>
      </c>
    </row>
    <row r="5" customFormat="false" ht="180" hidden="false" customHeight="true" outlineLevel="0" collapsed="false">
      <c r="A5" s="4" t="s">
        <v>29</v>
      </c>
      <c r="B5" s="5" t="s">
        <v>30</v>
      </c>
      <c r="C5" s="5" t="s">
        <v>31</v>
      </c>
      <c r="D5" s="5" t="s">
        <v>32</v>
      </c>
      <c r="E5" s="5" t="s">
        <v>16</v>
      </c>
      <c r="F5" s="5" t="s">
        <v>17</v>
      </c>
      <c r="G5" s="5"/>
      <c r="H5" s="5" t="s">
        <v>18</v>
      </c>
      <c r="I5" s="5" t="s">
        <v>19</v>
      </c>
      <c r="J5" s="5"/>
      <c r="K5" s="5"/>
      <c r="L5" s="5" t="s">
        <v>33</v>
      </c>
    </row>
    <row r="6" customFormat="false" ht="180" hidden="false" customHeight="true" outlineLevel="0" collapsed="false">
      <c r="A6" s="4" t="s">
        <v>34</v>
      </c>
      <c r="B6" s="5" t="s">
        <v>35</v>
      </c>
      <c r="C6" s="5" t="s">
        <v>36</v>
      </c>
      <c r="D6" s="5" t="s">
        <v>37</v>
      </c>
      <c r="E6" s="5"/>
      <c r="F6" s="5" t="s">
        <v>25</v>
      </c>
      <c r="G6" s="5" t="n">
        <v>3</v>
      </c>
      <c r="H6" s="5" t="s">
        <v>18</v>
      </c>
      <c r="I6" s="5" t="s">
        <v>38</v>
      </c>
      <c r="J6" s="5" t="s">
        <v>39</v>
      </c>
      <c r="K6" s="5" t="s">
        <v>40</v>
      </c>
      <c r="L6" s="5" t="s">
        <v>41</v>
      </c>
    </row>
    <row r="7" customFormat="false" ht="157.5" hidden="false" customHeight="true" outlineLevel="0" collapsed="false">
      <c r="A7" s="4" t="s">
        <v>42</v>
      </c>
      <c r="B7" s="5" t="s">
        <v>43</v>
      </c>
      <c r="C7" s="5" t="s">
        <v>44</v>
      </c>
      <c r="D7" s="5" t="s">
        <v>45</v>
      </c>
      <c r="E7" s="5" t="s">
        <v>16</v>
      </c>
      <c r="F7" s="5" t="s">
        <v>17</v>
      </c>
      <c r="G7" s="5"/>
      <c r="H7" s="5" t="s">
        <v>18</v>
      </c>
      <c r="I7" s="5" t="s">
        <v>19</v>
      </c>
      <c r="J7" s="5" t="s">
        <v>46</v>
      </c>
      <c r="K7" s="5"/>
      <c r="L7" s="5" t="s">
        <v>47</v>
      </c>
    </row>
    <row r="8" customFormat="false" ht="147" hidden="false" customHeight="true" outlineLevel="0" collapsed="false">
      <c r="A8" s="4" t="s">
        <v>48</v>
      </c>
      <c r="B8" s="5" t="s">
        <v>49</v>
      </c>
      <c r="C8" s="5" t="s">
        <v>50</v>
      </c>
      <c r="D8" s="5" t="s">
        <v>51</v>
      </c>
      <c r="E8" s="5" t="s">
        <v>16</v>
      </c>
      <c r="F8" s="5" t="s">
        <v>17</v>
      </c>
      <c r="G8" s="5"/>
      <c r="H8" s="5" t="s">
        <v>18</v>
      </c>
      <c r="I8" s="5" t="s">
        <v>19</v>
      </c>
      <c r="J8" s="5"/>
      <c r="K8" s="5"/>
      <c r="L8" s="5" t="s">
        <v>52</v>
      </c>
    </row>
    <row r="9" customFormat="false" ht="180" hidden="false" customHeight="true" outlineLevel="0" collapsed="false">
      <c r="A9" s="4" t="s">
        <v>53</v>
      </c>
      <c r="B9" s="5" t="s">
        <v>54</v>
      </c>
      <c r="C9" s="5" t="s">
        <v>55</v>
      </c>
      <c r="D9" s="5" t="s">
        <v>56</v>
      </c>
      <c r="E9" s="5" t="s">
        <v>57</v>
      </c>
      <c r="F9" s="5" t="s">
        <v>17</v>
      </c>
      <c r="G9" s="5"/>
      <c r="H9" s="5" t="s">
        <v>18</v>
      </c>
      <c r="I9" s="5" t="s">
        <v>19</v>
      </c>
      <c r="J9" s="5" t="s">
        <v>58</v>
      </c>
      <c r="K9" s="5" t="s">
        <v>59</v>
      </c>
      <c r="L9" s="5" t="s">
        <v>60</v>
      </c>
    </row>
    <row r="10" customFormat="false" ht="147" hidden="false" customHeight="true" outlineLevel="0" collapsed="false">
      <c r="A10" s="4" t="s">
        <v>61</v>
      </c>
      <c r="B10" s="5" t="s">
        <v>62</v>
      </c>
      <c r="C10" s="5" t="s">
        <v>63</v>
      </c>
      <c r="D10" s="5" t="s">
        <v>64</v>
      </c>
      <c r="E10" s="5" t="s">
        <v>16</v>
      </c>
      <c r="F10" s="5" t="s">
        <v>17</v>
      </c>
      <c r="G10" s="5"/>
      <c r="H10" s="5" t="s">
        <v>18</v>
      </c>
      <c r="I10" s="5" t="s">
        <v>19</v>
      </c>
      <c r="J10" s="5" t="s">
        <v>65</v>
      </c>
      <c r="K10" s="5"/>
      <c r="L10" s="5" t="s">
        <v>66</v>
      </c>
    </row>
    <row r="11" customFormat="false" ht="202.5" hidden="false" customHeight="true" outlineLevel="0" collapsed="false">
      <c r="A11" s="4" t="s">
        <v>67</v>
      </c>
      <c r="B11" s="5" t="s">
        <v>68</v>
      </c>
      <c r="C11" s="5" t="s">
        <v>69</v>
      </c>
      <c r="D11" s="5" t="s">
        <v>70</v>
      </c>
      <c r="E11" s="5" t="s">
        <v>57</v>
      </c>
      <c r="F11" s="5" t="s">
        <v>71</v>
      </c>
      <c r="G11" s="5"/>
      <c r="H11" s="5" t="s">
        <v>18</v>
      </c>
      <c r="I11" s="5" t="s">
        <v>26</v>
      </c>
      <c r="J11" s="5" t="s">
        <v>46</v>
      </c>
      <c r="K11" s="5"/>
      <c r="L11" s="5" t="s">
        <v>72</v>
      </c>
    </row>
    <row r="12" customFormat="false" ht="168.75" hidden="false" customHeight="true" outlineLevel="0" collapsed="false">
      <c r="A12" s="4" t="s">
        <v>73</v>
      </c>
      <c r="B12" s="5" t="s">
        <v>74</v>
      </c>
      <c r="C12" s="5" t="s">
        <v>75</v>
      </c>
      <c r="D12" s="5" t="s">
        <v>76</v>
      </c>
      <c r="E12" s="5" t="s">
        <v>57</v>
      </c>
      <c r="F12" s="5" t="s">
        <v>25</v>
      </c>
      <c r="G12" s="5"/>
      <c r="H12" s="5" t="s">
        <v>18</v>
      </c>
      <c r="I12" s="5" t="s">
        <v>26</v>
      </c>
      <c r="J12" s="5" t="s">
        <v>77</v>
      </c>
      <c r="K12" s="5"/>
      <c r="L12" s="5" t="s">
        <v>78</v>
      </c>
    </row>
    <row r="13" customFormat="false" ht="157.5" hidden="false" customHeight="true" outlineLevel="0" collapsed="false">
      <c r="A13" s="4" t="s">
        <v>79</v>
      </c>
      <c r="B13" s="5" t="s">
        <v>80</v>
      </c>
      <c r="C13" s="5" t="s">
        <v>81</v>
      </c>
      <c r="D13" s="5" t="s">
        <v>82</v>
      </c>
      <c r="E13" s="5" t="s">
        <v>57</v>
      </c>
      <c r="F13" s="5" t="s">
        <v>17</v>
      </c>
      <c r="G13" s="5"/>
      <c r="H13" s="5" t="s">
        <v>18</v>
      </c>
      <c r="I13" s="5" t="s">
        <v>19</v>
      </c>
      <c r="J13" s="5" t="s">
        <v>58</v>
      </c>
      <c r="K13" s="5" t="s">
        <v>83</v>
      </c>
      <c r="L13" s="5" t="s">
        <v>84</v>
      </c>
    </row>
    <row r="14" customFormat="false" ht="135.75" hidden="false" customHeight="true" outlineLevel="0" collapsed="false">
      <c r="A14" s="4" t="s">
        <v>85</v>
      </c>
      <c r="B14" s="5" t="s">
        <v>86</v>
      </c>
      <c r="C14" s="5" t="s">
        <v>87</v>
      </c>
      <c r="D14" s="5" t="s">
        <v>88</v>
      </c>
      <c r="E14" s="5"/>
      <c r="F14" s="5" t="s">
        <v>71</v>
      </c>
      <c r="G14" s="5" t="n">
        <v>3</v>
      </c>
      <c r="H14" s="5" t="s">
        <v>18</v>
      </c>
      <c r="I14" s="5" t="s">
        <v>38</v>
      </c>
      <c r="J14" s="5" t="s">
        <v>89</v>
      </c>
      <c r="K14" s="5" t="s">
        <v>90</v>
      </c>
      <c r="L14" s="5" t="s">
        <v>91</v>
      </c>
    </row>
    <row r="15" customFormat="false" ht="168.75" hidden="false" customHeight="true" outlineLevel="0" collapsed="false">
      <c r="A15" s="4" t="s">
        <v>92</v>
      </c>
      <c r="B15" s="5" t="s">
        <v>93</v>
      </c>
      <c r="C15" s="5" t="s">
        <v>94</v>
      </c>
      <c r="D15" s="5" t="s">
        <v>95</v>
      </c>
      <c r="E15" s="5" t="s">
        <v>16</v>
      </c>
      <c r="F15" s="5" t="s">
        <v>17</v>
      </c>
      <c r="G15" s="5"/>
      <c r="H15" s="5" t="s">
        <v>18</v>
      </c>
      <c r="I15" s="5" t="s">
        <v>19</v>
      </c>
      <c r="J15" s="5" t="s">
        <v>58</v>
      </c>
      <c r="K15" s="5"/>
      <c r="L15" s="5" t="s">
        <v>96</v>
      </c>
    </row>
    <row r="16" customFormat="false" ht="113.25" hidden="false" customHeight="true" outlineLevel="0" collapsed="false">
      <c r="A16" s="4" t="s">
        <v>97</v>
      </c>
      <c r="B16" s="5" t="s">
        <v>98</v>
      </c>
      <c r="C16" s="5" t="s">
        <v>99</v>
      </c>
      <c r="D16" s="5" t="s">
        <v>100</v>
      </c>
      <c r="E16" s="5"/>
      <c r="F16" s="5" t="s">
        <v>71</v>
      </c>
      <c r="G16" s="5" t="n">
        <v>3</v>
      </c>
      <c r="H16" s="5" t="s">
        <v>18</v>
      </c>
      <c r="I16" s="5" t="s">
        <v>38</v>
      </c>
      <c r="J16" s="5" t="s">
        <v>65</v>
      </c>
      <c r="K16" s="5"/>
      <c r="L16" s="5" t="s">
        <v>101</v>
      </c>
    </row>
    <row r="17" customFormat="false" ht="157.5" hidden="false" customHeight="true" outlineLevel="0" collapsed="false">
      <c r="A17" s="4" t="s">
        <v>102</v>
      </c>
      <c r="B17" s="5" t="s">
        <v>103</v>
      </c>
      <c r="C17" s="5" t="s">
        <v>104</v>
      </c>
      <c r="D17" s="5" t="s">
        <v>105</v>
      </c>
      <c r="E17" s="5"/>
      <c r="F17" s="5" t="s">
        <v>17</v>
      </c>
      <c r="G17" s="5"/>
      <c r="H17" s="5" t="s">
        <v>18</v>
      </c>
      <c r="I17" s="5" t="s">
        <v>19</v>
      </c>
      <c r="J17" s="5" t="s">
        <v>106</v>
      </c>
      <c r="K17" s="5"/>
      <c r="L17" s="5" t="s">
        <v>107</v>
      </c>
    </row>
    <row r="18" customFormat="false" ht="157.5" hidden="false" customHeight="true" outlineLevel="0" collapsed="false">
      <c r="A18" s="4" t="s">
        <v>108</v>
      </c>
      <c r="B18" s="5" t="s">
        <v>109</v>
      </c>
      <c r="C18" s="5" t="s">
        <v>110</v>
      </c>
      <c r="D18" s="5" t="s">
        <v>111</v>
      </c>
      <c r="E18" s="5"/>
      <c r="F18" s="5" t="s">
        <v>17</v>
      </c>
      <c r="G18" s="5"/>
      <c r="H18" s="5" t="s">
        <v>18</v>
      </c>
      <c r="I18" s="5" t="s">
        <v>19</v>
      </c>
      <c r="J18" s="5" t="s">
        <v>27</v>
      </c>
      <c r="K18" s="5"/>
      <c r="L18" s="5" t="s">
        <v>112</v>
      </c>
    </row>
    <row r="19" customFormat="false" ht="135.75" hidden="false" customHeight="true" outlineLevel="0" collapsed="false">
      <c r="A19" s="4" t="s">
        <v>113</v>
      </c>
      <c r="B19" s="5" t="s">
        <v>114</v>
      </c>
      <c r="C19" s="5" t="s">
        <v>115</v>
      </c>
      <c r="D19" s="5" t="s">
        <v>116</v>
      </c>
      <c r="E19" s="5"/>
      <c r="F19" s="5" t="s">
        <v>17</v>
      </c>
      <c r="G19" s="5"/>
      <c r="H19" s="5" t="s">
        <v>18</v>
      </c>
      <c r="I19" s="5" t="s">
        <v>19</v>
      </c>
      <c r="J19" s="5"/>
      <c r="K19" s="5"/>
      <c r="L19" s="5" t="s">
        <v>117</v>
      </c>
    </row>
    <row r="20" customFormat="false" ht="270" hidden="false" customHeight="true" outlineLevel="0" collapsed="false">
      <c r="A20" s="4" t="s">
        <v>118</v>
      </c>
      <c r="B20" s="5" t="s">
        <v>119</v>
      </c>
      <c r="C20" s="5" t="s">
        <v>120</v>
      </c>
      <c r="D20" s="5" t="s">
        <v>121</v>
      </c>
      <c r="E20" s="5"/>
      <c r="F20" s="5" t="s">
        <v>25</v>
      </c>
      <c r="G20" s="5"/>
      <c r="H20" s="5" t="s">
        <v>18</v>
      </c>
      <c r="I20" s="5" t="s">
        <v>26</v>
      </c>
      <c r="J20" s="5" t="s">
        <v>122</v>
      </c>
      <c r="K20" s="5" t="s">
        <v>123</v>
      </c>
      <c r="L20" s="5" t="s">
        <v>124</v>
      </c>
    </row>
    <row r="21" customFormat="false" ht="225" hidden="false" customHeight="true" outlineLevel="0" collapsed="false">
      <c r="A21" s="4" t="s">
        <v>125</v>
      </c>
      <c r="B21" s="5" t="s">
        <v>126</v>
      </c>
      <c r="C21" s="5" t="s">
        <v>127</v>
      </c>
      <c r="D21" s="5" t="s">
        <v>128</v>
      </c>
      <c r="E21" s="5"/>
      <c r="F21" s="5" t="s">
        <v>25</v>
      </c>
      <c r="G21" s="5"/>
      <c r="H21" s="5" t="s">
        <v>18</v>
      </c>
      <c r="I21" s="5" t="s">
        <v>26</v>
      </c>
      <c r="J21" s="5" t="s">
        <v>65</v>
      </c>
      <c r="K21" s="5" t="s">
        <v>129</v>
      </c>
      <c r="L21" s="5" t="s">
        <v>130</v>
      </c>
    </row>
    <row r="22" customFormat="false" ht="191.25" hidden="false" customHeight="true" outlineLevel="0" collapsed="false">
      <c r="A22" s="4" t="s">
        <v>131</v>
      </c>
      <c r="B22" s="5" t="s">
        <v>132</v>
      </c>
      <c r="C22" s="5" t="s">
        <v>133</v>
      </c>
      <c r="D22" s="5" t="s">
        <v>134</v>
      </c>
      <c r="E22" s="5"/>
      <c r="F22" s="5" t="s">
        <v>71</v>
      </c>
      <c r="G22" s="5"/>
      <c r="H22" s="5" t="s">
        <v>18</v>
      </c>
      <c r="I22" s="5" t="s">
        <v>26</v>
      </c>
      <c r="J22" s="5" t="s">
        <v>39</v>
      </c>
      <c r="K22" s="5"/>
      <c r="L22" s="5" t="s">
        <v>135</v>
      </c>
    </row>
    <row r="23" customFormat="false" ht="102" hidden="false" customHeight="true" outlineLevel="0" collapsed="false">
      <c r="A23" s="4" t="s">
        <v>136</v>
      </c>
      <c r="B23" s="5" t="s">
        <v>137</v>
      </c>
      <c r="C23" s="5" t="s">
        <v>138</v>
      </c>
      <c r="D23" s="5" t="s">
        <v>139</v>
      </c>
      <c r="E23" s="5"/>
      <c r="F23" s="5" t="s">
        <v>71</v>
      </c>
      <c r="G23" s="5"/>
      <c r="H23" s="5" t="s">
        <v>140</v>
      </c>
      <c r="I23" s="5" t="s">
        <v>26</v>
      </c>
      <c r="J23" s="5"/>
      <c r="K23" s="5"/>
      <c r="L23" s="5" t="s">
        <v>141</v>
      </c>
    </row>
    <row r="24" customFormat="false" ht="180" hidden="false" customHeight="true" outlineLevel="0" collapsed="false">
      <c r="A24" s="4" t="s">
        <v>142</v>
      </c>
      <c r="B24" s="5" t="s">
        <v>143</v>
      </c>
      <c r="C24" s="5" t="s">
        <v>144</v>
      </c>
      <c r="D24" s="5" t="s">
        <v>145</v>
      </c>
      <c r="E24" s="5"/>
      <c r="F24" s="5" t="s">
        <v>71</v>
      </c>
      <c r="G24" s="5"/>
      <c r="H24" s="5" t="s">
        <v>18</v>
      </c>
      <c r="I24" s="5" t="s">
        <v>26</v>
      </c>
      <c r="J24" s="5" t="s">
        <v>65</v>
      </c>
      <c r="K24" s="5"/>
      <c r="L24" s="5" t="s">
        <v>146</v>
      </c>
    </row>
    <row r="25" customFormat="false" ht="202.5" hidden="false" customHeight="true" outlineLevel="0" collapsed="false">
      <c r="A25" s="4" t="s">
        <v>147</v>
      </c>
      <c r="B25" s="5" t="s">
        <v>148</v>
      </c>
      <c r="C25" s="5" t="s">
        <v>149</v>
      </c>
      <c r="D25" s="5" t="s">
        <v>150</v>
      </c>
      <c r="E25" s="5"/>
      <c r="F25" s="5" t="s">
        <v>25</v>
      </c>
      <c r="G25" s="5" t="n">
        <v>5</v>
      </c>
      <c r="H25" s="5" t="s">
        <v>18</v>
      </c>
      <c r="I25" s="5" t="s">
        <v>38</v>
      </c>
      <c r="J25" s="5" t="s">
        <v>151</v>
      </c>
      <c r="K25" s="5" t="s">
        <v>152</v>
      </c>
      <c r="L25" s="5" t="s">
        <v>153</v>
      </c>
    </row>
    <row r="26" customFormat="false" ht="147" hidden="false" customHeight="true" outlineLevel="0" collapsed="false">
      <c r="A26" s="4" t="s">
        <v>154</v>
      </c>
      <c r="B26" s="5" t="s">
        <v>155</v>
      </c>
      <c r="C26" s="5" t="s">
        <v>156</v>
      </c>
      <c r="D26" s="5" t="s">
        <v>157</v>
      </c>
      <c r="E26" s="5"/>
      <c r="F26" s="5" t="s">
        <v>25</v>
      </c>
      <c r="G26" s="5" t="n">
        <v>3</v>
      </c>
      <c r="H26" s="5" t="s">
        <v>18</v>
      </c>
      <c r="I26" s="5" t="s">
        <v>38</v>
      </c>
      <c r="J26" s="5" t="s">
        <v>158</v>
      </c>
      <c r="K26" s="5" t="s">
        <v>159</v>
      </c>
      <c r="L26" s="5" t="s">
        <v>160</v>
      </c>
    </row>
    <row r="27" customFormat="false" ht="124.5" hidden="false" customHeight="true" outlineLevel="0" collapsed="false">
      <c r="A27" s="4" t="s">
        <v>161</v>
      </c>
      <c r="B27" s="5" t="s">
        <v>162</v>
      </c>
      <c r="C27" s="5" t="s">
        <v>163</v>
      </c>
      <c r="D27" s="5" t="s">
        <v>164</v>
      </c>
      <c r="E27" s="5"/>
      <c r="F27" s="5" t="s">
        <v>25</v>
      </c>
      <c r="G27" s="5" t="n">
        <v>5</v>
      </c>
      <c r="H27" s="5" t="s">
        <v>165</v>
      </c>
      <c r="I27" s="5" t="s">
        <v>38</v>
      </c>
      <c r="J27" s="5" t="s">
        <v>65</v>
      </c>
      <c r="K27" s="5"/>
      <c r="L27" s="5" t="s">
        <v>166</v>
      </c>
    </row>
    <row r="28" customFormat="false" ht="157.5" hidden="false" customHeight="true" outlineLevel="0" collapsed="false">
      <c r="A28" s="4" t="s">
        <v>167</v>
      </c>
      <c r="B28" s="5" t="s">
        <v>168</v>
      </c>
      <c r="C28" s="5" t="s">
        <v>169</v>
      </c>
      <c r="D28" s="5" t="s">
        <v>170</v>
      </c>
      <c r="E28" s="5"/>
      <c r="F28" s="5" t="s">
        <v>25</v>
      </c>
      <c r="G28" s="5" t="n">
        <v>5</v>
      </c>
      <c r="H28" s="5" t="s">
        <v>18</v>
      </c>
      <c r="I28" s="5" t="s">
        <v>38</v>
      </c>
      <c r="J28" s="5" t="s">
        <v>65</v>
      </c>
      <c r="K28" s="5" t="s">
        <v>171</v>
      </c>
      <c r="L28" s="5" t="s">
        <v>172</v>
      </c>
    </row>
    <row r="29" customFormat="false" ht="57" hidden="false" customHeight="true" outlineLevel="0" collapsed="false">
      <c r="A29" s="4" t="s">
        <v>173</v>
      </c>
      <c r="B29" s="5" t="s">
        <v>174</v>
      </c>
      <c r="C29" s="5" t="s">
        <v>175</v>
      </c>
      <c r="D29" s="5" t="s">
        <v>176</v>
      </c>
      <c r="E29" s="5"/>
      <c r="F29" s="5" t="s">
        <v>71</v>
      </c>
      <c r="G29" s="5" t="n">
        <v>3</v>
      </c>
      <c r="H29" s="5" t="s">
        <v>165</v>
      </c>
      <c r="I29" s="5" t="s">
        <v>38</v>
      </c>
      <c r="J29" s="5" t="s">
        <v>65</v>
      </c>
      <c r="K29" s="5"/>
      <c r="L29" s="5" t="s">
        <v>177</v>
      </c>
    </row>
    <row r="30" customFormat="false" ht="68.25" hidden="false" customHeight="true" outlineLevel="0" collapsed="false">
      <c r="A30" s="4" t="s">
        <v>178</v>
      </c>
      <c r="B30" s="5" t="s">
        <v>179</v>
      </c>
      <c r="C30" s="5" t="s">
        <v>180</v>
      </c>
      <c r="D30" s="5" t="s">
        <v>181</v>
      </c>
      <c r="E30" s="5"/>
      <c r="F30" s="5" t="s">
        <v>25</v>
      </c>
      <c r="G30" s="5" t="n">
        <v>2</v>
      </c>
      <c r="H30" s="5" t="s">
        <v>18</v>
      </c>
      <c r="I30" s="5" t="s">
        <v>38</v>
      </c>
      <c r="J30" s="5" t="s">
        <v>46</v>
      </c>
      <c r="K30" s="5" t="s">
        <v>182</v>
      </c>
      <c r="L30" s="5" t="s">
        <v>183</v>
      </c>
    </row>
    <row r="31" customFormat="false" ht="113.25" hidden="false" customHeight="true" outlineLevel="0" collapsed="false">
      <c r="A31" s="4" t="s">
        <v>184</v>
      </c>
      <c r="B31" s="5" t="s">
        <v>185</v>
      </c>
      <c r="C31" s="5" t="s">
        <v>186</v>
      </c>
      <c r="D31" s="5" t="s">
        <v>187</v>
      </c>
      <c r="E31" s="5"/>
      <c r="F31" s="5" t="s">
        <v>71</v>
      </c>
      <c r="G31" s="5" t="n">
        <v>3</v>
      </c>
      <c r="H31" s="5" t="s">
        <v>18</v>
      </c>
      <c r="I31" s="5" t="s">
        <v>38</v>
      </c>
      <c r="J31" s="5" t="s">
        <v>65</v>
      </c>
      <c r="K31" s="5" t="s">
        <v>171</v>
      </c>
      <c r="L31" s="5" t="s">
        <v>188</v>
      </c>
    </row>
    <row r="32" customFormat="false" ht="191.25" hidden="false" customHeight="true" outlineLevel="0" collapsed="false">
      <c r="A32" s="4" t="s">
        <v>189</v>
      </c>
      <c r="B32" s="5" t="s">
        <v>190</v>
      </c>
      <c r="C32" s="5" t="s">
        <v>191</v>
      </c>
      <c r="D32" s="5" t="s">
        <v>192</v>
      </c>
      <c r="E32" s="5"/>
      <c r="F32" s="5" t="s">
        <v>25</v>
      </c>
      <c r="G32" s="5"/>
      <c r="H32" s="5" t="s">
        <v>18</v>
      </c>
      <c r="I32" s="5" t="s">
        <v>26</v>
      </c>
      <c r="J32" s="5" t="s">
        <v>193</v>
      </c>
      <c r="K32" s="5" t="s">
        <v>194</v>
      </c>
      <c r="L32" s="5" t="s">
        <v>195</v>
      </c>
    </row>
    <row r="33" customFormat="false" ht="15" hidden="false" customHeight="true" outlineLevel="0" collapsed="false">
      <c r="A33" s="3" t="s">
        <v>196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customFormat="false" ht="113.25" hidden="false" customHeight="true" outlineLevel="0" collapsed="false">
      <c r="A34" s="4" t="s">
        <v>197</v>
      </c>
      <c r="B34" s="5" t="s">
        <v>198</v>
      </c>
      <c r="C34" s="5" t="s">
        <v>199</v>
      </c>
      <c r="D34" s="5" t="s">
        <v>200</v>
      </c>
      <c r="E34" s="5" t="s">
        <v>201</v>
      </c>
      <c r="F34" s="5" t="s">
        <v>17</v>
      </c>
      <c r="G34" s="5"/>
      <c r="H34" s="5" t="s">
        <v>18</v>
      </c>
      <c r="I34" s="5" t="s">
        <v>202</v>
      </c>
      <c r="J34" s="5" t="s">
        <v>58</v>
      </c>
      <c r="K34" s="5"/>
      <c r="L34" s="5" t="s">
        <v>203</v>
      </c>
    </row>
    <row r="35" customFormat="false" ht="57" hidden="false" customHeight="true" outlineLevel="0" collapsed="false">
      <c r="A35" s="4" t="s">
        <v>204</v>
      </c>
      <c r="B35" s="5" t="s">
        <v>205</v>
      </c>
      <c r="C35" s="5" t="s">
        <v>206</v>
      </c>
      <c r="D35" s="5" t="s">
        <v>207</v>
      </c>
      <c r="E35" s="5" t="s">
        <v>16</v>
      </c>
      <c r="F35" s="5" t="s">
        <v>25</v>
      </c>
      <c r="G35" s="5"/>
      <c r="H35" s="5" t="s">
        <v>18</v>
      </c>
      <c r="I35" s="5" t="s">
        <v>26</v>
      </c>
      <c r="J35" s="5" t="s">
        <v>208</v>
      </c>
      <c r="K35" s="5" t="s">
        <v>209</v>
      </c>
      <c r="L35" s="5" t="s">
        <v>210</v>
      </c>
    </row>
    <row r="36" customFormat="false" ht="102" hidden="false" customHeight="true" outlineLevel="0" collapsed="false">
      <c r="A36" s="4" t="s">
        <v>211</v>
      </c>
      <c r="B36" s="5" t="s">
        <v>212</v>
      </c>
      <c r="C36" s="5" t="s">
        <v>213</v>
      </c>
      <c r="D36" s="5" t="s">
        <v>214</v>
      </c>
      <c r="E36" s="5" t="s">
        <v>57</v>
      </c>
      <c r="F36" s="5" t="s">
        <v>17</v>
      </c>
      <c r="G36" s="5"/>
      <c r="H36" s="5" t="s">
        <v>18</v>
      </c>
      <c r="I36" s="5" t="s">
        <v>202</v>
      </c>
      <c r="J36" s="5"/>
      <c r="K36" s="5" t="s">
        <v>215</v>
      </c>
      <c r="L36" s="5" t="s">
        <v>216</v>
      </c>
    </row>
    <row r="37" customFormat="false" ht="113.25" hidden="false" customHeight="true" outlineLevel="0" collapsed="false">
      <c r="A37" s="4" t="s">
        <v>217</v>
      </c>
      <c r="B37" s="5" t="s">
        <v>218</v>
      </c>
      <c r="C37" s="5" t="s">
        <v>219</v>
      </c>
      <c r="D37" s="5" t="s">
        <v>220</v>
      </c>
      <c r="E37" s="5" t="s">
        <v>57</v>
      </c>
      <c r="F37" s="5" t="s">
        <v>25</v>
      </c>
      <c r="G37" s="5"/>
      <c r="H37" s="5" t="s">
        <v>18</v>
      </c>
      <c r="I37" s="5" t="s">
        <v>202</v>
      </c>
      <c r="J37" s="5"/>
      <c r="K37" s="5" t="s">
        <v>221</v>
      </c>
      <c r="L37" s="5" t="s">
        <v>222</v>
      </c>
    </row>
    <row r="38" customFormat="false" ht="79.5" hidden="false" customHeight="true" outlineLevel="0" collapsed="false">
      <c r="A38" s="4" t="s">
        <v>223</v>
      </c>
      <c r="B38" s="5" t="s">
        <v>224</v>
      </c>
      <c r="C38" s="5" t="s">
        <v>225</v>
      </c>
      <c r="D38" s="5" t="s">
        <v>226</v>
      </c>
      <c r="E38" s="5" t="s">
        <v>57</v>
      </c>
      <c r="F38" s="5" t="s">
        <v>25</v>
      </c>
      <c r="G38" s="5"/>
      <c r="H38" s="5" t="s">
        <v>18</v>
      </c>
      <c r="I38" s="5" t="s">
        <v>26</v>
      </c>
      <c r="J38" s="5"/>
      <c r="K38" s="5" t="s">
        <v>221</v>
      </c>
      <c r="L38" s="5" t="s">
        <v>227</v>
      </c>
    </row>
    <row r="39" customFormat="false" ht="90.75" hidden="false" customHeight="true" outlineLevel="0" collapsed="false">
      <c r="A39" s="4" t="s">
        <v>228</v>
      </c>
      <c r="B39" s="5" t="s">
        <v>229</v>
      </c>
      <c r="C39" s="5" t="s">
        <v>230</v>
      </c>
      <c r="D39" s="5" t="s">
        <v>231</v>
      </c>
      <c r="E39" s="5" t="s">
        <v>57</v>
      </c>
      <c r="F39" s="5" t="s">
        <v>17</v>
      </c>
      <c r="G39" s="5"/>
      <c r="H39" s="5" t="s">
        <v>18</v>
      </c>
      <c r="I39" s="5" t="s">
        <v>202</v>
      </c>
      <c r="J39" s="5"/>
      <c r="K39" s="5" t="s">
        <v>215</v>
      </c>
      <c r="L39" s="5" t="s">
        <v>232</v>
      </c>
    </row>
    <row r="40" customFormat="false" ht="124.5" hidden="false" customHeight="true" outlineLevel="0" collapsed="false">
      <c r="A40" s="4" t="s">
        <v>233</v>
      </c>
      <c r="B40" s="5" t="s">
        <v>234</v>
      </c>
      <c r="C40" s="5" t="s">
        <v>235</v>
      </c>
      <c r="D40" s="5" t="s">
        <v>236</v>
      </c>
      <c r="E40" s="5" t="s">
        <v>57</v>
      </c>
      <c r="F40" s="5" t="s">
        <v>17</v>
      </c>
      <c r="G40" s="5"/>
      <c r="H40" s="5" t="s">
        <v>165</v>
      </c>
      <c r="I40" s="5" t="s">
        <v>202</v>
      </c>
      <c r="J40" s="5"/>
      <c r="K40" s="5" t="s">
        <v>237</v>
      </c>
      <c r="L40" s="5" t="s">
        <v>238</v>
      </c>
    </row>
    <row r="41" customFormat="false" ht="113.25" hidden="false" customHeight="true" outlineLevel="0" collapsed="false">
      <c r="A41" s="4" t="s">
        <v>239</v>
      </c>
      <c r="B41" s="5" t="s">
        <v>240</v>
      </c>
      <c r="C41" s="5" t="s">
        <v>241</v>
      </c>
      <c r="D41" s="5" t="s">
        <v>242</v>
      </c>
      <c r="E41" s="5"/>
      <c r="F41" s="5" t="s">
        <v>25</v>
      </c>
      <c r="G41" s="5" t="n">
        <v>2</v>
      </c>
      <c r="H41" s="5" t="s">
        <v>18</v>
      </c>
      <c r="I41" s="5" t="s">
        <v>38</v>
      </c>
      <c r="J41" s="5" t="s">
        <v>106</v>
      </c>
      <c r="K41" s="5" t="s">
        <v>243</v>
      </c>
      <c r="L41" s="5" t="s">
        <v>244</v>
      </c>
    </row>
    <row r="42" customFormat="false" ht="102" hidden="false" customHeight="true" outlineLevel="0" collapsed="false">
      <c r="A42" s="4" t="s">
        <v>245</v>
      </c>
      <c r="B42" s="5" t="s">
        <v>246</v>
      </c>
      <c r="C42" s="5" t="s">
        <v>247</v>
      </c>
      <c r="D42" s="5" t="s">
        <v>248</v>
      </c>
      <c r="E42" s="5"/>
      <c r="F42" s="5" t="s">
        <v>25</v>
      </c>
      <c r="G42" s="5" t="n">
        <v>3</v>
      </c>
      <c r="H42" s="5" t="s">
        <v>18</v>
      </c>
      <c r="I42" s="5" t="s">
        <v>38</v>
      </c>
      <c r="J42" s="5" t="s">
        <v>27</v>
      </c>
      <c r="K42" s="5" t="s">
        <v>249</v>
      </c>
      <c r="L42" s="5" t="s">
        <v>250</v>
      </c>
    </row>
    <row r="43" customFormat="false" ht="79.5" hidden="false" customHeight="true" outlineLevel="0" collapsed="false">
      <c r="A43" s="4" t="s">
        <v>251</v>
      </c>
      <c r="B43" s="5" t="s">
        <v>252</v>
      </c>
      <c r="C43" s="5" t="s">
        <v>253</v>
      </c>
      <c r="D43" s="5" t="s">
        <v>254</v>
      </c>
      <c r="E43" s="5"/>
      <c r="F43" s="5" t="s">
        <v>25</v>
      </c>
      <c r="G43" s="5" t="n">
        <v>2</v>
      </c>
      <c r="H43" s="5" t="s">
        <v>18</v>
      </c>
      <c r="I43" s="5" t="s">
        <v>38</v>
      </c>
      <c r="J43" s="5" t="s">
        <v>27</v>
      </c>
      <c r="K43" s="5" t="s">
        <v>243</v>
      </c>
      <c r="L43" s="5" t="s">
        <v>255</v>
      </c>
    </row>
    <row r="44" customFormat="false" ht="57" hidden="false" customHeight="true" outlineLevel="0" collapsed="false">
      <c r="A44" s="4" t="s">
        <v>256</v>
      </c>
      <c r="B44" s="5" t="s">
        <v>257</v>
      </c>
      <c r="C44" s="5" t="s">
        <v>258</v>
      </c>
      <c r="D44" s="5" t="s">
        <v>259</v>
      </c>
      <c r="E44" s="5"/>
      <c r="F44" s="5" t="s">
        <v>25</v>
      </c>
      <c r="G44" s="5" t="n">
        <v>3</v>
      </c>
      <c r="H44" s="5" t="s">
        <v>18</v>
      </c>
      <c r="I44" s="5" t="s">
        <v>38</v>
      </c>
      <c r="J44" s="5" t="s">
        <v>122</v>
      </c>
      <c r="K44" s="5" t="s">
        <v>260</v>
      </c>
      <c r="L44" s="5" t="s">
        <v>261</v>
      </c>
    </row>
    <row r="45" customFormat="false" ht="57" hidden="false" customHeight="true" outlineLevel="0" collapsed="false">
      <c r="A45" s="4" t="s">
        <v>262</v>
      </c>
      <c r="B45" s="5" t="s">
        <v>263</v>
      </c>
      <c r="C45" s="5" t="s">
        <v>264</v>
      </c>
      <c r="D45" s="5" t="s">
        <v>265</v>
      </c>
      <c r="E45" s="5" t="s">
        <v>16</v>
      </c>
      <c r="F45" s="5" t="s">
        <v>25</v>
      </c>
      <c r="G45" s="5"/>
      <c r="H45" s="5" t="s">
        <v>18</v>
      </c>
      <c r="I45" s="5" t="s">
        <v>26</v>
      </c>
      <c r="J45" s="5" t="s">
        <v>27</v>
      </c>
      <c r="K45" s="5" t="s">
        <v>266</v>
      </c>
      <c r="L45" s="5" t="s">
        <v>267</v>
      </c>
    </row>
    <row r="46" customFormat="false" ht="90.75" hidden="false" customHeight="true" outlineLevel="0" collapsed="false">
      <c r="A46" s="4" t="s">
        <v>268</v>
      </c>
      <c r="B46" s="5" t="s">
        <v>269</v>
      </c>
      <c r="C46" s="5" t="s">
        <v>270</v>
      </c>
      <c r="D46" s="5" t="s">
        <v>271</v>
      </c>
      <c r="E46" s="5" t="s">
        <v>16</v>
      </c>
      <c r="F46" s="5" t="s">
        <v>25</v>
      </c>
      <c r="G46" s="5"/>
      <c r="H46" s="5" t="s">
        <v>165</v>
      </c>
      <c r="I46" s="5" t="s">
        <v>202</v>
      </c>
      <c r="J46" s="5"/>
      <c r="K46" s="5" t="s">
        <v>83</v>
      </c>
      <c r="L46" s="5" t="s">
        <v>272</v>
      </c>
    </row>
    <row r="47" customFormat="false" ht="79.5" hidden="false" customHeight="true" outlineLevel="0" collapsed="false">
      <c r="A47" s="4" t="s">
        <v>273</v>
      </c>
      <c r="B47" s="5" t="s">
        <v>274</v>
      </c>
      <c r="C47" s="5" t="s">
        <v>275</v>
      </c>
      <c r="D47" s="5" t="s">
        <v>276</v>
      </c>
      <c r="E47" s="5" t="s">
        <v>16</v>
      </c>
      <c r="F47" s="5" t="s">
        <v>71</v>
      </c>
      <c r="G47" s="5"/>
      <c r="H47" s="5" t="s">
        <v>165</v>
      </c>
      <c r="I47" s="5" t="s">
        <v>26</v>
      </c>
      <c r="J47" s="5"/>
      <c r="K47" s="5"/>
      <c r="L47" s="5" t="s">
        <v>277</v>
      </c>
    </row>
    <row r="48" customFormat="false" ht="79.5" hidden="false" customHeight="true" outlineLevel="0" collapsed="false">
      <c r="A48" s="4" t="s">
        <v>278</v>
      </c>
      <c r="B48" s="5" t="s">
        <v>279</v>
      </c>
      <c r="C48" s="5" t="s">
        <v>280</v>
      </c>
      <c r="D48" s="5" t="s">
        <v>281</v>
      </c>
      <c r="E48" s="5" t="s">
        <v>16</v>
      </c>
      <c r="F48" s="5" t="s">
        <v>25</v>
      </c>
      <c r="G48" s="5"/>
      <c r="H48" s="5" t="s">
        <v>282</v>
      </c>
      <c r="I48" s="5" t="s">
        <v>26</v>
      </c>
      <c r="J48" s="5"/>
      <c r="K48" s="5" t="s">
        <v>237</v>
      </c>
      <c r="L48" s="5" t="s">
        <v>283</v>
      </c>
    </row>
    <row r="49" customFormat="false" ht="102" hidden="false" customHeight="true" outlineLevel="0" collapsed="false">
      <c r="A49" s="4" t="s">
        <v>284</v>
      </c>
      <c r="B49" s="5" t="s">
        <v>285</v>
      </c>
      <c r="C49" s="5" t="s">
        <v>286</v>
      </c>
      <c r="D49" s="5" t="s">
        <v>287</v>
      </c>
      <c r="E49" s="5" t="s">
        <v>16</v>
      </c>
      <c r="F49" s="5" t="s">
        <v>71</v>
      </c>
      <c r="G49" s="5"/>
      <c r="H49" s="5" t="s">
        <v>140</v>
      </c>
      <c r="I49" s="5" t="s">
        <v>288</v>
      </c>
      <c r="J49" s="5"/>
      <c r="K49" s="5"/>
      <c r="L49" s="5" t="s">
        <v>289</v>
      </c>
    </row>
    <row r="50" customFormat="false" ht="68.25" hidden="false" customHeight="true" outlineLevel="0" collapsed="false">
      <c r="A50" s="4" t="s">
        <v>290</v>
      </c>
      <c r="B50" s="5" t="s">
        <v>291</v>
      </c>
      <c r="C50" s="5" t="s">
        <v>292</v>
      </c>
      <c r="D50" s="5" t="s">
        <v>293</v>
      </c>
      <c r="E50" s="5"/>
      <c r="F50" s="5" t="s">
        <v>71</v>
      </c>
      <c r="G50" s="5"/>
      <c r="H50" s="5" t="s">
        <v>282</v>
      </c>
      <c r="I50" s="5" t="s">
        <v>38</v>
      </c>
      <c r="J50" s="5" t="s">
        <v>58</v>
      </c>
      <c r="K50" s="5"/>
      <c r="L50" s="5" t="s">
        <v>294</v>
      </c>
    </row>
    <row r="51" customFormat="false" ht="68.25" hidden="false" customHeight="true" outlineLevel="0" collapsed="false">
      <c r="A51" s="4" t="s">
        <v>295</v>
      </c>
      <c r="B51" s="5" t="s">
        <v>296</v>
      </c>
      <c r="C51" s="5" t="s">
        <v>297</v>
      </c>
      <c r="D51" s="5" t="s">
        <v>298</v>
      </c>
      <c r="E51" s="5"/>
      <c r="F51" s="5" t="s">
        <v>25</v>
      </c>
      <c r="G51" s="5"/>
      <c r="H51" s="5" t="s">
        <v>165</v>
      </c>
      <c r="I51" s="5" t="s">
        <v>38</v>
      </c>
      <c r="J51" s="5"/>
      <c r="K51" s="5" t="s">
        <v>237</v>
      </c>
      <c r="L51" s="5" t="s">
        <v>299</v>
      </c>
    </row>
    <row r="52" customFormat="false" ht="79.5" hidden="false" customHeight="true" outlineLevel="0" collapsed="false">
      <c r="A52" s="3" t="s">
        <v>300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</row>
    <row r="53" customFormat="false" ht="79.5" hidden="false" customHeight="true" outlineLevel="0" collapsed="false">
      <c r="A53" s="4" t="s">
        <v>301</v>
      </c>
      <c r="B53" s="5" t="s">
        <v>302</v>
      </c>
      <c r="C53" s="5" t="s">
        <v>303</v>
      </c>
      <c r="D53" s="5" t="s">
        <v>304</v>
      </c>
      <c r="E53" s="5"/>
      <c r="F53" s="5" t="s">
        <v>71</v>
      </c>
      <c r="G53" s="5" t="n">
        <v>2</v>
      </c>
      <c r="H53" s="5" t="s">
        <v>18</v>
      </c>
      <c r="I53" s="5" t="s">
        <v>38</v>
      </c>
      <c r="J53" s="5" t="s">
        <v>58</v>
      </c>
      <c r="K53" s="5" t="s">
        <v>305</v>
      </c>
      <c r="L53" s="5"/>
    </row>
    <row r="54" customFormat="false" ht="68.25" hidden="false" customHeight="true" outlineLevel="0" collapsed="false">
      <c r="A54" s="4" t="s">
        <v>306</v>
      </c>
      <c r="B54" s="5" t="s">
        <v>307</v>
      </c>
      <c r="C54" s="5" t="s">
        <v>308</v>
      </c>
      <c r="D54" s="5" t="s">
        <v>309</v>
      </c>
      <c r="E54" s="5"/>
      <c r="F54" s="5" t="s">
        <v>71</v>
      </c>
      <c r="G54" s="5" t="n">
        <v>3</v>
      </c>
      <c r="H54" s="5" t="s">
        <v>18</v>
      </c>
      <c r="I54" s="5" t="s">
        <v>38</v>
      </c>
      <c r="J54" s="5" t="s">
        <v>27</v>
      </c>
      <c r="K54" s="5" t="s">
        <v>310</v>
      </c>
      <c r="L54" s="5"/>
    </row>
    <row r="55" customFormat="false" ht="34.5" hidden="false" customHeight="true" outlineLevel="0" collapsed="false">
      <c r="A55" s="4" t="s">
        <v>311</v>
      </c>
      <c r="B55" s="5" t="s">
        <v>312</v>
      </c>
      <c r="C55" s="5" t="s">
        <v>313</v>
      </c>
      <c r="D55" s="5" t="s">
        <v>314</v>
      </c>
      <c r="E55" s="5"/>
      <c r="F55" s="5" t="s">
        <v>71</v>
      </c>
      <c r="G55" s="5" t="n">
        <v>3</v>
      </c>
      <c r="H55" s="5" t="s">
        <v>18</v>
      </c>
      <c r="I55" s="5" t="s">
        <v>38</v>
      </c>
      <c r="J55" s="5" t="s">
        <v>315</v>
      </c>
      <c r="K55" s="5" t="s">
        <v>316</v>
      </c>
      <c r="L55" s="5"/>
    </row>
    <row r="56" customFormat="false" ht="15" hidden="false" customHeight="true" outlineLevel="0" collapsed="false">
      <c r="A56" s="4" t="s">
        <v>317</v>
      </c>
      <c r="B56" s="5" t="s">
        <v>318</v>
      </c>
      <c r="C56" s="5" t="s">
        <v>319</v>
      </c>
      <c r="D56" s="5" t="s">
        <v>320</v>
      </c>
      <c r="E56" s="5"/>
      <c r="F56" s="5" t="s">
        <v>71</v>
      </c>
      <c r="G56" s="5" t="n">
        <v>3</v>
      </c>
      <c r="H56" s="5" t="s">
        <v>18</v>
      </c>
      <c r="I56" s="5" t="s">
        <v>38</v>
      </c>
      <c r="J56" s="5" t="s">
        <v>321</v>
      </c>
      <c r="K56" s="5" t="s">
        <v>322</v>
      </c>
      <c r="L56" s="5"/>
    </row>
    <row r="57" customFormat="false" ht="45.75" hidden="false" customHeight="true" outlineLevel="0" collapsed="false">
      <c r="A57" s="4" t="s">
        <v>323</v>
      </c>
      <c r="B57" s="5" t="s">
        <v>324</v>
      </c>
      <c r="C57" s="5" t="s">
        <v>325</v>
      </c>
      <c r="D57" s="5" t="s">
        <v>326</v>
      </c>
      <c r="E57" s="5"/>
      <c r="F57" s="5" t="s">
        <v>71</v>
      </c>
      <c r="G57" s="5" t="n">
        <v>3</v>
      </c>
      <c r="H57" s="5" t="s">
        <v>18</v>
      </c>
      <c r="I57" s="5" t="s">
        <v>38</v>
      </c>
      <c r="J57" s="5" t="s">
        <v>315</v>
      </c>
      <c r="K57" s="5" t="s">
        <v>316</v>
      </c>
      <c r="L57" s="5"/>
    </row>
    <row r="58" customFormat="false" ht="57" hidden="false" customHeight="true" outlineLevel="0" collapsed="false">
      <c r="A58" s="4" t="s">
        <v>327</v>
      </c>
      <c r="B58" s="5" t="s">
        <v>328</v>
      </c>
      <c r="C58" s="5" t="s">
        <v>329</v>
      </c>
      <c r="D58" s="5" t="s">
        <v>330</v>
      </c>
      <c r="E58" s="5"/>
      <c r="F58" s="5" t="s">
        <v>71</v>
      </c>
      <c r="G58" s="5" t="n">
        <v>3</v>
      </c>
      <c r="H58" s="5" t="s">
        <v>18</v>
      </c>
      <c r="I58" s="5" t="s">
        <v>38</v>
      </c>
      <c r="J58" s="5" t="s">
        <v>65</v>
      </c>
      <c r="K58" s="5" t="s">
        <v>331</v>
      </c>
      <c r="L58" s="5"/>
    </row>
    <row r="59" customFormat="false" ht="57" hidden="false" customHeight="true" outlineLevel="0" collapsed="false">
      <c r="A59" s="4" t="s">
        <v>332</v>
      </c>
      <c r="B59" s="5" t="s">
        <v>333</v>
      </c>
      <c r="C59" s="5" t="s">
        <v>334</v>
      </c>
      <c r="D59" s="5" t="s">
        <v>335</v>
      </c>
      <c r="E59" s="5"/>
      <c r="F59" s="5" t="s">
        <v>71</v>
      </c>
      <c r="G59" s="5" t="n">
        <v>5</v>
      </c>
      <c r="H59" s="5" t="s">
        <v>18</v>
      </c>
      <c r="I59" s="5" t="s">
        <v>38</v>
      </c>
      <c r="J59" s="5" t="s">
        <v>336</v>
      </c>
      <c r="K59" s="5" t="s">
        <v>337</v>
      </c>
      <c r="L59" s="5"/>
    </row>
    <row r="60" customFormat="false" ht="68.25" hidden="false" customHeight="true" outlineLevel="0" collapsed="false">
      <c r="A60" s="4" t="s">
        <v>338</v>
      </c>
      <c r="B60" s="5" t="s">
        <v>339</v>
      </c>
      <c r="C60" s="5" t="s">
        <v>340</v>
      </c>
      <c r="D60" s="5" t="s">
        <v>341</v>
      </c>
      <c r="E60" s="5"/>
      <c r="F60" s="5" t="s">
        <v>71</v>
      </c>
      <c r="G60" s="5" t="n">
        <v>2</v>
      </c>
      <c r="H60" s="5" t="s">
        <v>165</v>
      </c>
      <c r="I60" s="5" t="s">
        <v>38</v>
      </c>
      <c r="J60" s="5" t="s">
        <v>46</v>
      </c>
      <c r="K60" s="5"/>
      <c r="L60" s="5"/>
    </row>
    <row r="61" customFormat="false" ht="45.75" hidden="false" customHeight="true" outlineLevel="0" collapsed="false">
      <c r="A61" s="4" t="s">
        <v>342</v>
      </c>
      <c r="B61" s="5" t="s">
        <v>343</v>
      </c>
      <c r="C61" s="5" t="s">
        <v>344</v>
      </c>
      <c r="D61" s="5" t="s">
        <v>345</v>
      </c>
      <c r="E61" s="5"/>
      <c r="F61" s="5" t="s">
        <v>71</v>
      </c>
      <c r="G61" s="5" t="n">
        <v>2</v>
      </c>
      <c r="H61" s="5" t="s">
        <v>165</v>
      </c>
      <c r="I61" s="5" t="s">
        <v>38</v>
      </c>
      <c r="J61" s="5" t="s">
        <v>27</v>
      </c>
      <c r="K61" s="5"/>
      <c r="L61" s="5"/>
    </row>
    <row r="62" customFormat="false" ht="57" hidden="false" customHeight="true" outlineLevel="0" collapsed="false">
      <c r="A62" s="4" t="s">
        <v>346</v>
      </c>
      <c r="B62" s="5" t="s">
        <v>347</v>
      </c>
      <c r="C62" s="5" t="s">
        <v>348</v>
      </c>
      <c r="D62" s="5" t="s">
        <v>349</v>
      </c>
      <c r="E62" s="5"/>
      <c r="F62" s="5" t="s">
        <v>71</v>
      </c>
      <c r="G62" s="5" t="n">
        <v>3</v>
      </c>
      <c r="H62" s="5" t="s">
        <v>282</v>
      </c>
      <c r="I62" s="5" t="s">
        <v>38</v>
      </c>
      <c r="J62" s="5" t="s">
        <v>27</v>
      </c>
      <c r="K62" s="5" t="s">
        <v>350</v>
      </c>
      <c r="L62" s="5" t="s">
        <v>351</v>
      </c>
    </row>
    <row r="63" customFormat="false" ht="68.25" hidden="false" customHeight="true" outlineLevel="0" collapsed="false">
      <c r="A63" s="4" t="s">
        <v>352</v>
      </c>
      <c r="B63" s="5" t="s">
        <v>353</v>
      </c>
      <c r="C63" s="5" t="s">
        <v>354</v>
      </c>
      <c r="D63" s="5" t="s">
        <v>355</v>
      </c>
      <c r="E63" s="5"/>
      <c r="F63" s="5" t="s">
        <v>71</v>
      </c>
      <c r="G63" s="5"/>
      <c r="H63" s="5" t="s">
        <v>282</v>
      </c>
      <c r="I63" s="5" t="s">
        <v>38</v>
      </c>
      <c r="J63" s="5"/>
      <c r="K63" s="5"/>
      <c r="L63" s="5" t="s">
        <v>356</v>
      </c>
    </row>
    <row r="64" customFormat="false" ht="34.5" hidden="false" customHeight="true" outlineLevel="0" collapsed="false">
      <c r="A64" s="4" t="s">
        <v>357</v>
      </c>
      <c r="B64" s="5" t="s">
        <v>358</v>
      </c>
      <c r="C64" s="5" t="s">
        <v>359</v>
      </c>
      <c r="D64" s="5" t="s">
        <v>355</v>
      </c>
      <c r="E64" s="5"/>
      <c r="F64" s="5" t="s">
        <v>71</v>
      </c>
      <c r="G64" s="5"/>
      <c r="H64" s="5" t="s">
        <v>282</v>
      </c>
      <c r="I64" s="5" t="s">
        <v>38</v>
      </c>
      <c r="J64" s="5"/>
      <c r="K64" s="5"/>
      <c r="L64" s="5" t="s">
        <v>360</v>
      </c>
    </row>
    <row r="65" customFormat="false" ht="34.5" hidden="false" customHeight="true" outlineLevel="0" collapsed="false">
      <c r="A65" s="4" t="s">
        <v>361</v>
      </c>
      <c r="B65" s="5" t="s">
        <v>362</v>
      </c>
      <c r="C65" s="5" t="s">
        <v>363</v>
      </c>
      <c r="D65" s="5" t="s">
        <v>355</v>
      </c>
      <c r="E65" s="5"/>
      <c r="F65" s="5" t="s">
        <v>71</v>
      </c>
      <c r="G65" s="5"/>
      <c r="H65" s="5" t="s">
        <v>282</v>
      </c>
      <c r="I65" s="5" t="s">
        <v>38</v>
      </c>
      <c r="J65" s="5"/>
      <c r="K65" s="5"/>
      <c r="L65" s="5" t="s">
        <v>364</v>
      </c>
    </row>
    <row r="66" customFormat="false" ht="34.5" hidden="false" customHeight="true" outlineLevel="0" collapsed="false">
      <c r="A66" s="3" t="s">
        <v>365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</row>
    <row r="67" customFormat="false" ht="34.5" hidden="false" customHeight="true" outlineLevel="0" collapsed="false">
      <c r="A67" s="4" t="s">
        <v>366</v>
      </c>
      <c r="B67" s="5" t="s">
        <v>367</v>
      </c>
      <c r="C67" s="5" t="s">
        <v>368</v>
      </c>
      <c r="D67" s="5" t="s">
        <v>369</v>
      </c>
      <c r="E67" s="5" t="s">
        <v>201</v>
      </c>
      <c r="F67" s="5" t="s">
        <v>17</v>
      </c>
      <c r="G67" s="5"/>
      <c r="H67" s="5" t="s">
        <v>140</v>
      </c>
      <c r="I67" s="5" t="s">
        <v>370</v>
      </c>
      <c r="J67" s="5" t="s">
        <v>58</v>
      </c>
      <c r="K67" s="5"/>
      <c r="L67" s="5" t="s">
        <v>371</v>
      </c>
    </row>
    <row r="68" customFormat="false" ht="23.25" hidden="false" customHeight="true" outlineLevel="0" collapsed="false">
      <c r="A68" s="4" t="s">
        <v>372</v>
      </c>
      <c r="B68" s="5" t="s">
        <v>373</v>
      </c>
      <c r="C68" s="5" t="s">
        <v>374</v>
      </c>
      <c r="D68" s="5" t="s">
        <v>375</v>
      </c>
      <c r="E68" s="5" t="s">
        <v>201</v>
      </c>
      <c r="F68" s="5" t="s">
        <v>17</v>
      </c>
      <c r="G68" s="5"/>
      <c r="H68" s="5" t="s">
        <v>140</v>
      </c>
      <c r="I68" s="5" t="s">
        <v>370</v>
      </c>
      <c r="J68" s="5" t="s">
        <v>58</v>
      </c>
      <c r="K68" s="5"/>
      <c r="L68" s="5" t="s">
        <v>376</v>
      </c>
    </row>
    <row r="69" customFormat="false" ht="23.25" hidden="false" customHeight="true" outlineLevel="0" collapsed="false">
      <c r="A69" s="4" t="s">
        <v>377</v>
      </c>
      <c r="B69" s="5" t="s">
        <v>378</v>
      </c>
      <c r="C69" s="5" t="s">
        <v>379</v>
      </c>
      <c r="D69" s="5" t="s">
        <v>380</v>
      </c>
      <c r="E69" s="5" t="s">
        <v>201</v>
      </c>
      <c r="F69" s="5" t="s">
        <v>17</v>
      </c>
      <c r="G69" s="5"/>
      <c r="H69" s="5" t="s">
        <v>140</v>
      </c>
      <c r="I69" s="5" t="s">
        <v>370</v>
      </c>
      <c r="J69" s="5"/>
      <c r="K69" s="5"/>
      <c r="L69" s="5" t="s">
        <v>381</v>
      </c>
    </row>
    <row r="70" customFormat="false" ht="90.75" hidden="false" customHeight="true" outlineLevel="0" collapsed="false">
      <c r="A70" s="4" t="s">
        <v>382</v>
      </c>
      <c r="B70" s="5" t="s">
        <v>383</v>
      </c>
      <c r="C70" s="5" t="s">
        <v>384</v>
      </c>
      <c r="D70" s="5" t="s">
        <v>385</v>
      </c>
      <c r="E70" s="5" t="s">
        <v>201</v>
      </c>
      <c r="F70" s="5" t="s">
        <v>17</v>
      </c>
      <c r="G70" s="5"/>
      <c r="H70" s="5" t="s">
        <v>140</v>
      </c>
      <c r="I70" s="5" t="s">
        <v>370</v>
      </c>
      <c r="J70" s="5" t="s">
        <v>27</v>
      </c>
      <c r="K70" s="5"/>
      <c r="L70" s="5" t="s">
        <v>386</v>
      </c>
    </row>
  </sheetData>
  <autoFilter ref="A1:L70"/>
  <dataValidations count="3">
    <dataValidation allowBlank="true" errorStyle="stop" operator="between" showDropDown="false" showErrorMessage="false" showInputMessage="false" sqref="F2:F70" type="list">
      <formula1>"Yes,No,Built - check"</formula1>
      <formula2>0</formula2>
    </dataValidation>
    <dataValidation allowBlank="true" errorStyle="stop" operator="between" showDropDown="false" showErrorMessage="false" showInputMessage="false" sqref="H2:H70" type="list">
      <formula1>"Must,Should,Could,Won't (this round)"</formula1>
      <formula2>0</formula2>
    </dataValidation>
    <dataValidation allowBlank="true" errorStyle="stop" operator="between" showDropDown="false" showErrorMessage="false" showInputMessage="false" sqref="I2:I70" type="list">
      <formula1>"New,Updated,Moved,Merged,Unchanged,Deprioritised"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20"/>
  </cols>
  <sheetData>
    <row r="1" customFormat="false" ht="17.25" hidden="false" customHeight="true" outlineLevel="0" collapsed="false">
      <c r="A1" s="6" t="s">
        <v>387</v>
      </c>
    </row>
    <row r="2" customFormat="false" ht="15" hidden="false" customHeight="true" outlineLevel="0" collapsed="false">
      <c r="A2" s="7" t="s">
        <v>388</v>
      </c>
    </row>
    <row r="4" customFormat="false" ht="15" hidden="false" customHeight="true" outlineLevel="0" collapsed="false">
      <c r="A4" s="8" t="s">
        <v>7</v>
      </c>
      <c r="B4" s="8" t="s">
        <v>389</v>
      </c>
      <c r="C4" s="8" t="s">
        <v>390</v>
      </c>
      <c r="D4" s="8" t="s">
        <v>391</v>
      </c>
    </row>
    <row r="5" customFormat="false" ht="15" hidden="false" customHeight="true" outlineLevel="0" collapsed="false">
      <c r="A5" s="9" t="s">
        <v>18</v>
      </c>
      <c r="B5" s="9" t="n">
        <f aca="false">COUNTIF('Product Backlog'!$H$2:$H$70,A5)</f>
        <v>45</v>
      </c>
      <c r="C5" s="9" t="n">
        <f aca="false">COUNTIFS('Product Backlog'!$H$2:$H$70,A5,'Product Backlog'!$F$2:$F$70,"No")</f>
        <v>13</v>
      </c>
      <c r="D5" s="9" t="n">
        <f aca="false">SUMIFS('Product Backlog'!$G$2:$G$70,'Product Backlog'!$H$2:$H$70,A5,'Product Backlog'!$F$2:$F$70,"No")</f>
        <v>31</v>
      </c>
    </row>
    <row r="6" customFormat="false" ht="15" hidden="false" customHeight="true" outlineLevel="0" collapsed="false">
      <c r="A6" s="9" t="s">
        <v>165</v>
      </c>
      <c r="B6" s="9" t="n">
        <f aca="false">COUNTIF('Product Backlog'!$H$2:$H$70,A6)</f>
        <v>8</v>
      </c>
      <c r="C6" s="9" t="n">
        <f aca="false">COUNTIFS('Product Backlog'!$H$2:$H$70,A6,'Product Backlog'!$F$2:$F$70,"No")</f>
        <v>4</v>
      </c>
      <c r="D6" s="9" t="n">
        <f aca="false">SUMIFS('Product Backlog'!$G$2:$G$70,'Product Backlog'!$H$2:$H$70,A6,'Product Backlog'!$F$2:$F$70,"No")</f>
        <v>7</v>
      </c>
    </row>
    <row r="7" customFormat="false" ht="15" hidden="false" customHeight="true" outlineLevel="0" collapsed="false">
      <c r="A7" s="9" t="s">
        <v>282</v>
      </c>
      <c r="B7" s="9" t="n">
        <f aca="false">COUNTIF('Product Backlog'!$H$2:$H$70,A7)</f>
        <v>6</v>
      </c>
      <c r="C7" s="9" t="n">
        <f aca="false">COUNTIFS('Product Backlog'!$H$2:$H$70,A7,'Product Backlog'!$F$2:$F$70,"No")</f>
        <v>5</v>
      </c>
      <c r="D7" s="9" t="n">
        <f aca="false">SUMIFS('Product Backlog'!$G$2:$G$70,'Product Backlog'!$H$2:$H$70,A7,'Product Backlog'!$F$2:$F$70,"No")</f>
        <v>3</v>
      </c>
    </row>
    <row r="8" customFormat="false" ht="15" hidden="false" customHeight="true" outlineLevel="0" collapsed="false">
      <c r="A8" s="9" t="s">
        <v>140</v>
      </c>
      <c r="B8" s="9" t="n">
        <f aca="false">COUNTIF('Product Backlog'!$H$2:$H$70,A8)</f>
        <v>6</v>
      </c>
      <c r="C8" s="9" t="n">
        <f aca="false">COUNTIFS('Product Backlog'!$H$2:$H$70,A8,'Product Backlog'!$F$2:$F$70,"No")</f>
        <v>2</v>
      </c>
      <c r="D8" s="9" t="n">
        <f aca="false">SUMIFS('Product Backlog'!$G$2:$G$70,'Product Backlog'!$H$2:$H$70,A8,'Product Backlog'!$F$2:$F$70,"No")</f>
        <v>0</v>
      </c>
    </row>
    <row r="9" customFormat="false" ht="15" hidden="false" customHeight="true" outlineLevel="0" collapsed="false">
      <c r="A9" s="8" t="s">
        <v>392</v>
      </c>
      <c r="B9" s="8" t="n">
        <f aca="false">SUM(B5:B8)</f>
        <v>65</v>
      </c>
      <c r="C9" s="8" t="n">
        <f aca="false">SUM(C5:C8)</f>
        <v>24</v>
      </c>
      <c r="D9" s="8" t="n">
        <f aca="false">SUM(D5:D8)</f>
        <v>41</v>
      </c>
    </row>
    <row r="11" customFormat="false" ht="15" hidden="false" customHeight="true" outlineLevel="0" collapsed="false">
      <c r="A11" s="8" t="s">
        <v>393</v>
      </c>
      <c r="B11" s="8" t="s">
        <v>389</v>
      </c>
    </row>
    <row r="12" customFormat="false" ht="15" hidden="false" customHeight="true" outlineLevel="0" collapsed="false">
      <c r="A12" s="9" t="s">
        <v>38</v>
      </c>
      <c r="B12" s="9" t="n">
        <f aca="false">COUNTIF('Product Backlog'!$I$2:$I$70,A12)</f>
        <v>29</v>
      </c>
    </row>
    <row r="13" customFormat="false" ht="15" hidden="false" customHeight="true" outlineLevel="0" collapsed="false">
      <c r="A13" s="9" t="s">
        <v>26</v>
      </c>
      <c r="B13" s="9" t="n">
        <f aca="false">COUNTIF('Product Backlog'!$I$2:$I$70,A13)</f>
        <v>14</v>
      </c>
    </row>
    <row r="14" customFormat="false" ht="15" hidden="false" customHeight="true" outlineLevel="0" collapsed="false">
      <c r="A14" s="9" t="s">
        <v>202</v>
      </c>
      <c r="B14" s="9" t="n">
        <f aca="false">COUNTIF('Product Backlog'!$I$2:$I$70,A14)</f>
        <v>6</v>
      </c>
    </row>
    <row r="15" customFormat="false" ht="15" hidden="false" customHeight="true" outlineLevel="0" collapsed="false">
      <c r="A15" s="9" t="s">
        <v>370</v>
      </c>
      <c r="B15" s="9" t="n">
        <f aca="false">COUNTIF('Product Backlog'!$I$2:$I$70,A15)</f>
        <v>4</v>
      </c>
    </row>
    <row r="16" customFormat="false" ht="15" hidden="false" customHeight="true" outlineLevel="0" collapsed="false">
      <c r="A16" s="9" t="s">
        <v>19</v>
      </c>
      <c r="B16" s="9" t="n">
        <f aca="false">COUNTIF('Product Backlog'!$I$2:$I$70,A16)</f>
        <v>11</v>
      </c>
    </row>
    <row r="17" customFormat="false" ht="15" hidden="false" customHeight="true" outlineLevel="0" collapsed="false">
      <c r="A17" s="9" t="s">
        <v>288</v>
      </c>
      <c r="B17" s="9" t="n">
        <f aca="false">COUNTIF('Product Backlog'!$I$2:$I$70,A17)</f>
        <v>1</v>
      </c>
    </row>
    <row r="19" customFormat="false" ht="15" hidden="false" customHeight="true" outlineLevel="0" collapsed="false">
      <c r="A19" s="7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10" t="s">
        <v>395</v>
      </c>
    </row>
    <row r="3" customFormat="false" ht="26.25" hidden="false" customHeight="true" outlineLevel="0" collapsed="false">
      <c r="A3" s="11" t="s">
        <v>396</v>
      </c>
    </row>
    <row r="5" customFormat="false" ht="26.25" hidden="false" customHeight="true" outlineLevel="0" collapsed="false">
      <c r="A5" s="11" t="s">
        <v>397</v>
      </c>
    </row>
    <row r="7" customFormat="false" ht="26.25" hidden="false" customHeight="true" outlineLevel="0" collapsed="false">
      <c r="A7" s="11" t="s">
        <v>398</v>
      </c>
    </row>
    <row r="9" customFormat="false" ht="26.25" hidden="false" customHeight="true" outlineLevel="0" collapsed="false">
      <c r="A9" s="11" t="s">
        <v>399</v>
      </c>
    </row>
    <row r="11" customFormat="false" ht="15" hidden="false" customHeight="true" outlineLevel="0" collapsed="false">
      <c r="A11" s="11" t="s">
        <v>400</v>
      </c>
    </row>
    <row r="12" customFormat="false" ht="15" hidden="false" customHeight="true" outlineLevel="0" collapsed="false">
      <c r="A12" s="1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2026-10-28T11:34:36Z</dcterms:created>
  <dc:creator>openpyxl</dc:creator>
  <dc:description/>
  <dc:language>en-US</dc:language>
  <cp:lastModifiedBy/>
  <dcterms:modified xsi:type="dcterms:W3CDTF">2026-10-29T11:11:57Z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